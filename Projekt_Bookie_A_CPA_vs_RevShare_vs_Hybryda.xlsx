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0"/>
  <workbookPr/>
  <xr:revisionPtr revIDLastSave="0" documentId="8_{FED6CC28-6AF9-49A0-B094-C01B40767235}" xr6:coauthVersionLast="47" xr6:coauthVersionMax="47" xr10:uidLastSave="{00000000-0000-0000-0000-000000000000}"/>
  <bookViews>
    <workbookView xWindow="0" yWindow="0" windowWidth="16384" windowHeight="8192" tabRatio="500" firstSheet="5" xr2:uid="{00000000-000D-0000-FFFF-FFFF00000000}"/>
  </bookViews>
  <sheets>
    <sheet name="Instrukcja" sheetId="1" r:id="rId1"/>
    <sheet name="Założenia" sheetId="2" r:id="rId2"/>
    <sheet name="Model" sheetId="3" r:id="rId3"/>
    <sheet name="Podsumowanie" sheetId="4" r:id="rId4"/>
    <sheet name="Scenariusze" sheetId="5" r:id="rId5"/>
    <sheet name="Wnioski" sheetId="6" r:id="rId6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5" i="3" l="1"/>
  <c r="C9" i="5"/>
  <c r="C8" i="5"/>
  <c r="C7" i="5"/>
  <c r="C6" i="5"/>
  <c r="C5" i="5"/>
  <c r="C4" i="5"/>
  <c r="B13" i="4"/>
  <c r="B15" i="3"/>
  <c r="C15" i="3" s="1"/>
  <c r="F15" i="3" s="1"/>
  <c r="A15" i="3"/>
  <c r="B14" i="3"/>
  <c r="C14" i="3" s="1"/>
  <c r="F14" i="3" s="1"/>
  <c r="A14" i="3"/>
  <c r="B13" i="3"/>
  <c r="C13" i="3" s="1"/>
  <c r="F13" i="3" s="1"/>
  <c r="A13" i="3"/>
  <c r="B12" i="3"/>
  <c r="C12" i="3" s="1"/>
  <c r="F12" i="3" s="1"/>
  <c r="A12" i="3"/>
  <c r="B11" i="3"/>
  <c r="C11" i="3" s="1"/>
  <c r="F11" i="3" s="1"/>
  <c r="A11" i="3"/>
  <c r="B10" i="3"/>
  <c r="C10" i="3" s="1"/>
  <c r="F10" i="3" s="1"/>
  <c r="A10" i="3"/>
  <c r="B9" i="3"/>
  <c r="C9" i="3" s="1"/>
  <c r="F9" i="3" s="1"/>
  <c r="A9" i="3"/>
  <c r="B8" i="3"/>
  <c r="C8" i="3" s="1"/>
  <c r="F8" i="3" s="1"/>
  <c r="A8" i="3"/>
  <c r="B7" i="3"/>
  <c r="C7" i="3" s="1"/>
  <c r="F7" i="3" s="1"/>
  <c r="A7" i="3"/>
  <c r="B6" i="3"/>
  <c r="C6" i="3" s="1"/>
  <c r="F6" i="3" s="1"/>
  <c r="A6" i="3"/>
  <c r="C5" i="3"/>
  <c r="F5" i="3" s="1"/>
  <c r="A5" i="3"/>
  <c r="B4" i="3"/>
  <c r="C4" i="3" s="1"/>
  <c r="A4" i="3"/>
  <c r="N4" i="3" l="1"/>
  <c r="G4" i="3"/>
  <c r="E4" i="3"/>
  <c r="C16" i="3"/>
  <c r="D15" i="3"/>
  <c r="D14" i="3"/>
  <c r="D13" i="3"/>
  <c r="D12" i="3"/>
  <c r="D11" i="3"/>
  <c r="D10" i="3"/>
  <c r="D9" i="3"/>
  <c r="D8" i="3"/>
  <c r="D7" i="3"/>
  <c r="D6" i="3"/>
  <c r="D5" i="3"/>
  <c r="F4" i="3"/>
  <c r="D4" i="3"/>
  <c r="N5" i="3"/>
  <c r="G5" i="3"/>
  <c r="E5" i="3"/>
  <c r="N6" i="3"/>
  <c r="G6" i="3"/>
  <c r="E6" i="3"/>
  <c r="N7" i="3"/>
  <c r="G7" i="3"/>
  <c r="E7" i="3"/>
  <c r="N8" i="3"/>
  <c r="G8" i="3"/>
  <c r="E8" i="3"/>
  <c r="N9" i="3"/>
  <c r="G9" i="3"/>
  <c r="E9" i="3"/>
  <c r="N10" i="3"/>
  <c r="G10" i="3"/>
  <c r="E10" i="3"/>
  <c r="N11" i="3"/>
  <c r="G11" i="3"/>
  <c r="E11" i="3"/>
  <c r="N12" i="3"/>
  <c r="G12" i="3"/>
  <c r="E12" i="3"/>
  <c r="N13" i="3"/>
  <c r="G13" i="3"/>
  <c r="E13" i="3"/>
  <c r="N14" i="3"/>
  <c r="G14" i="3"/>
  <c r="E14" i="3"/>
  <c r="N15" i="3"/>
  <c r="G15" i="3"/>
  <c r="E15" i="3"/>
  <c r="F16" i="3" l="1"/>
  <c r="I15" i="3"/>
  <c r="I14" i="3"/>
  <c r="L14" i="3" s="1"/>
  <c r="P14" i="3" s="1"/>
  <c r="I13" i="3"/>
  <c r="L13" i="3" s="1"/>
  <c r="P13" i="3" s="1"/>
  <c r="I12" i="3"/>
  <c r="L12" i="3" s="1"/>
  <c r="P12" i="3" s="1"/>
  <c r="I11" i="3"/>
  <c r="L11" i="3" s="1"/>
  <c r="P11" i="3" s="1"/>
  <c r="I10" i="3"/>
  <c r="L10" i="3" s="1"/>
  <c r="P10" i="3" s="1"/>
  <c r="I9" i="3"/>
  <c r="L9" i="3" s="1"/>
  <c r="P9" i="3" s="1"/>
  <c r="I8" i="3"/>
  <c r="L8" i="3" s="1"/>
  <c r="P8" i="3" s="1"/>
  <c r="I7" i="3"/>
  <c r="L7" i="3" s="1"/>
  <c r="P7" i="3" s="1"/>
  <c r="I6" i="3"/>
  <c r="L6" i="3" s="1"/>
  <c r="P6" i="3" s="1"/>
  <c r="I5" i="3"/>
  <c r="L5" i="3" s="1"/>
  <c r="P5" i="3" s="1"/>
  <c r="I4" i="3"/>
  <c r="L4" i="3" s="1"/>
  <c r="P4" i="3" s="1"/>
  <c r="B11" i="5"/>
  <c r="A5" i="6" s="1"/>
  <c r="B9" i="5"/>
  <c r="B8" i="5"/>
  <c r="B7" i="5"/>
  <c r="B6" i="5"/>
  <c r="B5" i="5"/>
  <c r="B4" i="5"/>
  <c r="B14" i="4"/>
  <c r="E16" i="3"/>
  <c r="H15" i="3"/>
  <c r="H14" i="3"/>
  <c r="K14" i="3" s="1"/>
  <c r="O14" i="3" s="1"/>
  <c r="H13" i="3"/>
  <c r="K13" i="3" s="1"/>
  <c r="O13" i="3" s="1"/>
  <c r="H12" i="3"/>
  <c r="K12" i="3" s="1"/>
  <c r="O12" i="3" s="1"/>
  <c r="H11" i="3"/>
  <c r="K11" i="3" s="1"/>
  <c r="O11" i="3" s="1"/>
  <c r="H10" i="3"/>
  <c r="K10" i="3" s="1"/>
  <c r="O10" i="3" s="1"/>
  <c r="H9" i="3"/>
  <c r="K9" i="3" s="1"/>
  <c r="O9" i="3" s="1"/>
  <c r="H8" i="3"/>
  <c r="K8" i="3" s="1"/>
  <c r="O8" i="3" s="1"/>
  <c r="H7" i="3"/>
  <c r="K7" i="3" s="1"/>
  <c r="O7" i="3" s="1"/>
  <c r="H6" i="3"/>
  <c r="K6" i="3" s="1"/>
  <c r="O6" i="3" s="1"/>
  <c r="H5" i="3"/>
  <c r="K5" i="3" s="1"/>
  <c r="O5" i="3" s="1"/>
  <c r="H4" i="3"/>
  <c r="K4" i="3" s="1"/>
  <c r="O4" i="3" s="1"/>
  <c r="G16" i="3"/>
  <c r="J15" i="3"/>
  <c r="J14" i="3"/>
  <c r="M14" i="3" s="1"/>
  <c r="Q14" i="3" s="1"/>
  <c r="J13" i="3"/>
  <c r="M13" i="3" s="1"/>
  <c r="Q13" i="3" s="1"/>
  <c r="J12" i="3"/>
  <c r="M12" i="3" s="1"/>
  <c r="Q12" i="3" s="1"/>
  <c r="J11" i="3"/>
  <c r="M11" i="3" s="1"/>
  <c r="Q11" i="3" s="1"/>
  <c r="J10" i="3"/>
  <c r="M10" i="3" s="1"/>
  <c r="Q10" i="3" s="1"/>
  <c r="J9" i="3"/>
  <c r="M9" i="3" s="1"/>
  <c r="Q9" i="3" s="1"/>
  <c r="J8" i="3"/>
  <c r="M8" i="3" s="1"/>
  <c r="Q8" i="3" s="1"/>
  <c r="J7" i="3"/>
  <c r="M7" i="3" s="1"/>
  <c r="Q7" i="3" s="1"/>
  <c r="J6" i="3"/>
  <c r="M6" i="3" s="1"/>
  <c r="Q6" i="3" s="1"/>
  <c r="J5" i="3"/>
  <c r="M5" i="3" s="1"/>
  <c r="Q5" i="3" s="1"/>
  <c r="J4" i="3"/>
  <c r="M4" i="3" s="1"/>
  <c r="Q4" i="3" s="1"/>
  <c r="D4" i="4" l="1"/>
  <c r="M15" i="3"/>
  <c r="Q15" i="3" s="1"/>
  <c r="D9" i="4" s="1"/>
  <c r="B4" i="4"/>
  <c r="K15" i="3"/>
  <c r="O15" i="3" s="1"/>
  <c r="B9" i="4" s="1"/>
  <c r="A4" i="6"/>
  <c r="B15" i="4"/>
  <c r="E4" i="5"/>
  <c r="D4" i="5"/>
  <c r="F4" i="5" s="1"/>
  <c r="E5" i="5"/>
  <c r="D5" i="5"/>
  <c r="F5" i="5" s="1"/>
  <c r="E6" i="5"/>
  <c r="D6" i="5"/>
  <c r="F6" i="5" s="1"/>
  <c r="E7" i="5"/>
  <c r="D7" i="5"/>
  <c r="F7" i="5" s="1"/>
  <c r="E8" i="5"/>
  <c r="D8" i="5"/>
  <c r="F8" i="5" s="1"/>
  <c r="E9" i="5"/>
  <c r="D9" i="5"/>
  <c r="F9" i="5" s="1"/>
  <c r="C4" i="4"/>
  <c r="L15" i="3"/>
  <c r="P15" i="3" s="1"/>
  <c r="C9" i="4" s="1"/>
  <c r="C6" i="4" l="1"/>
  <c r="C5" i="4"/>
  <c r="C7" i="4" s="1"/>
  <c r="A6" i="6"/>
  <c r="B6" i="4"/>
  <c r="B5" i="4"/>
  <c r="D6" i="4"/>
  <c r="D5" i="4"/>
  <c r="D7" i="4" s="1"/>
  <c r="B11" i="4" l="1"/>
  <c r="A3" i="6" s="1"/>
  <c r="B7" i="4"/>
  <c r="D8" i="4"/>
  <c r="C8" i="4"/>
  <c r="B8" i="4"/>
  <c r="B12" i="4"/>
</calcChain>
</file>

<file path=xl/sharedStrings.xml><?xml version="1.0" encoding="utf-8"?>
<sst xmlns="http://schemas.openxmlformats.org/spreadsheetml/2006/main" count="89" uniqueCount="85">
  <si>
    <t>Projekt Bookie A: CPA vs RevShare vs Hybryda dla jednej kohorty graczy</t>
  </si>
  <si>
    <t>Cel projektu</t>
  </si>
  <si>
    <t>Zbudować model, który odpowiada na pytanie: który sposób rozliczenia (CPA, RevShare czy hybryda) daje nam więcej pieniędzy i jak szybko zwraca się koszt pozyskania gracza.</t>
  </si>
  <si>
    <t>Jak czytać arkusze (legenda kolorów)</t>
  </si>
  <si>
    <t>Niebieski tekst = dane wejściowe i założenia</t>
  </si>
  <si>
    <t xml:space="preserve">Czarny tekst = formuły </t>
  </si>
  <si>
    <t>Zielony tekst = odwołanie do innego arkusza</t>
  </si>
  <si>
    <t>Żółte tło = kluczowe założenia, od których najbardziej zależy wynik</t>
  </si>
  <si>
    <t>Co jest w pliku</t>
  </si>
  <si>
    <t>Założenia: wszystkie liczby wejściowe i krzywa retencji</t>
  </si>
  <si>
    <t>Model: miesiąc po miesiącu NGR gracza, wypłata i zysk skumulowany dla każdego modelu.</t>
  </si>
  <si>
    <t>Podsumowanie: porównanie modeli, wartość bieżąca (NPV), zwrot kosztu, próg opłacalności i wykres.</t>
  </si>
  <si>
    <t>Scenariusze: jak zmienia się najlepszy model, gdy gracze są mniej lub bardziej wartościowi.</t>
  </si>
  <si>
    <t>Wnioski: analiza i rekomendacja</t>
  </si>
  <si>
    <t>Założenia: CPA vs RevShare vs Hybryda (jedna kohorta graczy)</t>
  </si>
  <si>
    <t>Parametr</t>
  </si>
  <si>
    <t>Wartość</t>
  </si>
  <si>
    <t>Opis</t>
  </si>
  <si>
    <t>Liczba nowych graczy (FTD) w kohorcie</t>
  </si>
  <si>
    <t>Ilu graczy pierwszy raz wpłaciło pieniądze w jednym miesiącu</t>
  </si>
  <si>
    <t>Model CPA: stała kwota za gracza (zł)</t>
  </si>
  <si>
    <t>Jednorazowa wypłata za każdego FTD</t>
  </si>
  <si>
    <t>Model RevShare: % od NGR</t>
  </si>
  <si>
    <t>Procent od przychodu netto (NGR) bukmachera z gracza, co miesiąc</t>
  </si>
  <si>
    <t>Hybryda: stała kwota za gracza (zł)</t>
  </si>
  <si>
    <t>Część stała modelu hybrydowego</t>
  </si>
  <si>
    <t>Hybryda: % od NGR</t>
  </si>
  <si>
    <t>Część procentowa modelu hybrydowego</t>
  </si>
  <si>
    <t>NGR gracza w miesiącu 1 (zł)</t>
  </si>
  <si>
    <t>Średni NGR jednego gracza w pierwszym miesiącu</t>
  </si>
  <si>
    <t>Odliczenia od NGR (%)</t>
  </si>
  <si>
    <t>Np. negative carryover, opłaty płatnicze; zmniejszają bazę RevShare</t>
  </si>
  <si>
    <t>Nasz koszt pozyskania 1 FTD (zł)</t>
  </si>
  <si>
    <t>Koszt ruchu, treści, linków przypadający na jednego FTD</t>
  </si>
  <si>
    <t>Stopa dyskontowa miesięczna</t>
  </si>
  <si>
    <t>Do wartości bieżącej (NPV): pieniądze dziś są więcej warte niż później</t>
  </si>
  <si>
    <t>Miesiąc</t>
  </si>
  <si>
    <t>Retencja (% graczy aktywnych)</t>
  </si>
  <si>
    <t>Miesiąc 1 = 100% (wszyscy właśnie wpłacili). Dalej spada przez churn.</t>
  </si>
  <si>
    <t>Model miesięczny na 1 gracza (FTD)</t>
  </si>
  <si>
    <t>Wszystkie kwoty w zł na jednego gracza. Prowizja = to, co my dostajemy od bukmachera.</t>
  </si>
  <si>
    <t>Retencja</t>
  </si>
  <si>
    <t>NGR gracza po odliczeniach (zł)</t>
  </si>
  <si>
    <t>NGR skumulowany (zł)</t>
  </si>
  <si>
    <t>Wypłata CPA (zł)</t>
  </si>
  <si>
    <t>Wypłata RevShare (zł)</t>
  </si>
  <si>
    <t>Wypłata Hybryda (zł)</t>
  </si>
  <si>
    <t>Prowizja skum. CPA (zł)</t>
  </si>
  <si>
    <t>Prowizja skum. RevShare (zł)</t>
  </si>
  <si>
    <t>Prowizja skum. Hybryda (zł)</t>
  </si>
  <si>
    <t>Zysk skum. CPA (zł)</t>
  </si>
  <si>
    <t>Zysk skum. RevShare (zł)</t>
  </si>
  <si>
    <t>Zysk skum. Hybryda (zł)</t>
  </si>
  <si>
    <t>Czynnik dyskontowy</t>
  </si>
  <si>
    <t>Zwrot kosztu: CPA</t>
  </si>
  <si>
    <t>Zwrot kosztu: RevShare</t>
  </si>
  <si>
    <t>Zwrot kosztu: Hybryda</t>
  </si>
  <si>
    <t>Suma 12 mies.</t>
  </si>
  <si>
    <t>Kolumny O–Q: numer miesiąca, w którym skumulowany zysk po raz pierwszy jest ≥ 0 (pomocnicze do liczenia zwrotu kosztu).</t>
  </si>
  <si>
    <t>Podsumowanie: który model jest najlepszy?</t>
  </si>
  <si>
    <t>Wskaźnik</t>
  </si>
  <si>
    <t>CPA</t>
  </si>
  <si>
    <t>RevShare</t>
  </si>
  <si>
    <t>Hybryda</t>
  </si>
  <si>
    <t>Prowizja na 1 FTD po 12 mies. (zł)</t>
  </si>
  <si>
    <t>Zysk na 1 FTD po 12 mies. (zł)</t>
  </si>
  <si>
    <t>Prowizja z całej kohorty (zł)</t>
  </si>
  <si>
    <t>Zysk z całej kohorty (zł)</t>
  </si>
  <si>
    <t>Wartość bieżąca (NPV) prowizji na 1 FTD (zł)</t>
  </si>
  <si>
    <t>Miesiąc zwrotu kosztu pozyskania (payback)</t>
  </si>
  <si>
    <t>Najlepszy model wg zysku po 12 mies.</t>
  </si>
  <si>
    <t>Najlepszy model wg NPV</t>
  </si>
  <si>
    <t>Próg opłacalności RevShare vs CPA: NGR skum. na FTD (zł)</t>
  </si>
  <si>
    <t>Skumulowany NGR na FTD po 12 mies. (zł, po odliczeniach)</t>
  </si>
  <si>
    <t>Czy RevShare bije CPA w tym scenariuszu?</t>
  </si>
  <si>
    <t>Próg = CPA ÷ % RevShare. Gdy skumulowany NGR gracza jest wyższy od progu, RevShare daje więcej niż CPA.</t>
  </si>
  <si>
    <t>Wrażliwość: co jeśli gracze są więcej / mniej wartościowi?</t>
  </si>
  <si>
    <t>Mnożnik skaluje skumulowany NGR gracza po 12 mies. (retencja bez zmian). Prowizja po 12 mies. na 1 FTD (zł).</t>
  </si>
  <si>
    <t>Mnożnik NGR (jakość graczy)</t>
  </si>
  <si>
    <t>Skum. NGR na FTD (zł)</t>
  </si>
  <si>
    <t>Najlepszy model</t>
  </si>
  <si>
    <t>Mnożnik, przy którym RevShare = CPA</t>
  </si>
  <si>
    <t>Wnioski (zdania gotowe do powiedzenia na rozmowie)</t>
  </si>
  <si>
    <r>
      <rPr>
        <b/>
        <sz val="10"/>
        <color rgb="FF000000"/>
        <rFont val="Arial"/>
      </rPr>
      <t xml:space="preserve">Rekomendacja | </t>
    </r>
    <r>
      <rPr>
        <sz val="10"/>
        <color rgb="FF000000"/>
        <rFont val="Arial"/>
      </rPr>
      <t>wybieram CPA. Po 12 miesiącach daje 150 zł prowizji na gracza (zysk 80 zł po odjęciu kosztu 70 zł). RevShare daje ok. 69 zł (zysk lekko ujemny), a hybryda ok. 84 zł (zysk 14 zł).</t>
    </r>
  </si>
  <si>
    <r>
      <rPr>
        <b/>
        <sz val="10"/>
        <color rgb="FF000000"/>
        <rFont val="Arial"/>
      </rPr>
      <t>QBR |</t>
    </r>
    <r>
      <rPr>
        <sz val="10"/>
        <color rgb="FF000000"/>
        <rFont val="Arial"/>
      </rPr>
      <t xml:space="preserve"> Jeśli retencja i NGR będą wyraźnie wyższe niż w założeniach, wracam do rozmowy o hybrydzie lub RevShare.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</si>
</sst>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;\(#,##0\);\-"/>
    <numFmt numFmtId="165" formatCode="0.0%;\(0.0%\);\-"/>
    <numFmt numFmtId="166" formatCode="#,##0.0;\(#,##0.0\);\-"/>
    <numFmt numFmtId="167" formatCode="0.000"/>
    <numFmt numFmtId="168" formatCode="0.00\x"/>
  </numFmts>
  <fonts count="12">
    <font>
      <sz val="11"/>
      <color theme="1"/>
      <name val="Calibri"/>
      <family val="2"/>
      <charset val="1"/>
    </font>
    <font>
      <b/>
      <sz val="14"/>
      <color rgb="FF1F3864"/>
      <name val="Arial"/>
      <charset val="1"/>
    </font>
    <font>
      <b/>
      <sz val="11"/>
      <color rgb="FF2F5496"/>
      <name val="Arial"/>
      <charset val="1"/>
    </font>
    <font>
      <sz val="10"/>
      <color rgb="FF000000"/>
      <name val="Arial"/>
      <charset val="1"/>
    </font>
    <font>
      <sz val="10"/>
      <color rgb="FF0000FF"/>
      <name val="Arial"/>
      <charset val="1"/>
    </font>
    <font>
      <sz val="10"/>
      <color rgb="FF008000"/>
      <name val="Arial"/>
      <charset val="1"/>
    </font>
    <font>
      <i/>
      <sz val="9"/>
      <color rgb="FF595959"/>
      <name val="Arial"/>
      <charset val="1"/>
    </font>
    <font>
      <b/>
      <sz val="10"/>
      <color rgb="FFFFFFFF"/>
      <name val="Arial"/>
      <charset val="1"/>
    </font>
    <font>
      <b/>
      <sz val="10"/>
      <name val="Arial"/>
      <charset val="1"/>
    </font>
    <font>
      <b/>
      <sz val="10"/>
      <color rgb="FF000000"/>
      <name val="Arial"/>
      <charset val="1"/>
    </font>
    <font>
      <b/>
      <sz val="10"/>
      <color rgb="FF000000"/>
      <name val="Arial"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/>
    <xf numFmtId="0" fontId="3" fillId="0" borderId="0" xfId="0" applyFont="1"/>
    <xf numFmtId="0" fontId="5" fillId="0" borderId="0" xfId="0" applyFont="1"/>
    <xf numFmtId="0" fontId="3" fillId="2" borderId="0" xfId="0" applyFont="1" applyFill="1"/>
    <xf numFmtId="0" fontId="6" fillId="0" borderId="0" xfId="0" applyFont="1"/>
    <xf numFmtId="0" fontId="7" fillId="3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1" fontId="4" fillId="0" borderId="1" xfId="0" applyNumberFormat="1" applyFont="1" applyBorder="1"/>
    <xf numFmtId="164" fontId="4" fillId="2" borderId="1" xfId="0" applyNumberFormat="1" applyFont="1" applyFill="1" applyBorder="1"/>
    <xf numFmtId="165" fontId="4" fillId="2" borderId="1" xfId="0" applyNumberFormat="1" applyFont="1" applyFill="1" applyBorder="1"/>
    <xf numFmtId="164" fontId="4" fillId="0" borderId="1" xfId="0" applyNumberFormat="1" applyFont="1" applyBorder="1"/>
    <xf numFmtId="165" fontId="4" fillId="0" borderId="1" xfId="0" applyNumberFormat="1" applyFont="1" applyBorder="1"/>
    <xf numFmtId="9" fontId="4" fillId="0" borderId="1" xfId="0" applyNumberFormat="1" applyFont="1" applyBorder="1"/>
    <xf numFmtId="9" fontId="4" fillId="2" borderId="1" xfId="0" applyNumberFormat="1" applyFont="1" applyFill="1" applyBorder="1"/>
    <xf numFmtId="1" fontId="5" fillId="0" borderId="1" xfId="0" applyNumberFormat="1" applyFont="1" applyBorder="1"/>
    <xf numFmtId="9" fontId="5" fillId="0" borderId="1" xfId="0" applyNumberFormat="1" applyFont="1" applyBorder="1"/>
    <xf numFmtId="166" fontId="3" fillId="0" borderId="1" xfId="0" applyNumberFormat="1" applyFont="1" applyBorder="1"/>
    <xf numFmtId="167" fontId="3" fillId="0" borderId="1" xfId="0" applyNumberFormat="1" applyFont="1" applyBorder="1"/>
    <xf numFmtId="1" fontId="3" fillId="0" borderId="1" xfId="0" applyNumberFormat="1" applyFont="1" applyBorder="1"/>
    <xf numFmtId="0" fontId="8" fillId="0" borderId="1" xfId="0" applyFont="1" applyBorder="1"/>
    <xf numFmtId="166" fontId="9" fillId="0" borderId="1" xfId="0" applyNumberFormat="1" applyFont="1" applyBorder="1"/>
    <xf numFmtId="166" fontId="5" fillId="0" borderId="1" xfId="0" applyNumberFormat="1" applyFont="1" applyBorder="1"/>
    <xf numFmtId="164" fontId="3" fillId="0" borderId="1" xfId="0" applyNumberFormat="1" applyFont="1" applyBorder="1"/>
    <xf numFmtId="0" fontId="9" fillId="0" borderId="1" xfId="0" applyFont="1" applyBorder="1"/>
    <xf numFmtId="164" fontId="5" fillId="0" borderId="1" xfId="0" applyNumberFormat="1" applyFont="1" applyBorder="1"/>
    <xf numFmtId="168" fontId="4" fillId="0" borderId="1" xfId="0" applyNumberFormat="1" applyFont="1" applyBorder="1"/>
    <xf numFmtId="168" fontId="3" fillId="0" borderId="1" xfId="0" applyNumberFormat="1" applyFont="1" applyBorder="1"/>
    <xf numFmtId="0" fontId="3" fillId="0" borderId="1" xfId="0" applyFont="1" applyBorder="1" applyAlignment="1">
      <alignment vertical="top" wrapText="1"/>
    </xf>
    <xf numFmtId="0" fontId="3" fillId="2" borderId="1" xfId="0" applyFont="1" applyFill="1" applyBorder="1"/>
    <xf numFmtId="0" fontId="11" fillId="2" borderId="1" xfId="0" applyFont="1" applyFill="1" applyBorder="1" applyAlignment="1">
      <alignment vertical="center" wrapText="1"/>
    </xf>
    <xf numFmtId="0" fontId="11" fillId="2" borderId="1" xfId="0" applyFont="1" applyFill="1" applyBorder="1" applyAlignment="1">
      <alignment horizontal="left" vertical="center"/>
    </xf>
  </cellXfs>
  <cellStyles count="1">
    <cellStyle name="Normalny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BE4B48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8B855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F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Skumulowany zysk na 1 FTD (zł)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Model!K3</c:f>
              <c:strCache>
                <c:ptCount val="1"/>
                <c:pt idx="0">
                  <c:v>Zysk skum. CPA (zł)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Model!$A$4:$A$15</c:f>
              <c:numCache>
                <c:formatCode>0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Model!$K$4:$K$15</c:f>
              <c:numCache>
                <c:formatCode>#,##0.0;\(#,##0.0\);\-</c:formatCode>
                <c:ptCount val="12"/>
                <c:pt idx="0">
                  <c:v>80</c:v>
                </c:pt>
                <c:pt idx="1">
                  <c:v>80</c:v>
                </c:pt>
                <c:pt idx="2">
                  <c:v>80</c:v>
                </c:pt>
                <c:pt idx="3">
                  <c:v>80</c:v>
                </c:pt>
                <c:pt idx="4">
                  <c:v>80</c:v>
                </c:pt>
                <c:pt idx="5">
                  <c:v>80</c:v>
                </c:pt>
                <c:pt idx="6">
                  <c:v>80</c:v>
                </c:pt>
                <c:pt idx="7">
                  <c:v>80</c:v>
                </c:pt>
                <c:pt idx="8">
                  <c:v>80</c:v>
                </c:pt>
                <c:pt idx="9">
                  <c:v>80</c:v>
                </c:pt>
                <c:pt idx="10">
                  <c:v>80</c:v>
                </c:pt>
                <c:pt idx="11">
                  <c:v>80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306-45C0-A90E-78E3A209602D}"/>
            </c:ext>
          </c:extLst>
        </c:ser>
        <c:ser>
          <c:idx val="1"/>
          <c:order val="1"/>
          <c:tx>
            <c:strRef>
              <c:f>Model!L3</c:f>
              <c:strCache>
                <c:ptCount val="1"/>
                <c:pt idx="0">
                  <c:v>Zysk skum. RevShare (zł)</c:v>
                </c:pt>
              </c:strCache>
            </c:strRef>
          </c:tx>
          <c:spPr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Model!$A$4:$A$15</c:f>
              <c:numCache>
                <c:formatCode>0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Model!$L$4:$L$15</c:f>
              <c:numCache>
                <c:formatCode>#,##0.0;\(#,##0.0\);\-</c:formatCode>
                <c:ptCount val="12"/>
                <c:pt idx="0">
                  <c:v>-51.475000000000001</c:v>
                </c:pt>
                <c:pt idx="1">
                  <c:v>-41.286250000000003</c:v>
                </c:pt>
                <c:pt idx="2">
                  <c:v>-33.876250000000006</c:v>
                </c:pt>
                <c:pt idx="3">
                  <c:v>-27.948250000000009</c:v>
                </c:pt>
                <c:pt idx="4">
                  <c:v>-22.946500000000007</c:v>
                </c:pt>
                <c:pt idx="5">
                  <c:v>-18.685750000000006</c:v>
                </c:pt>
                <c:pt idx="6">
                  <c:v>-14.980750000000008</c:v>
                </c:pt>
                <c:pt idx="7">
                  <c:v>-11.646250000000009</c:v>
                </c:pt>
                <c:pt idx="8">
                  <c:v>-8.6822500000000105</c:v>
                </c:pt>
                <c:pt idx="9">
                  <c:v>-6.0887500000000117</c:v>
                </c:pt>
                <c:pt idx="10">
                  <c:v>-3.6805000000000092</c:v>
                </c:pt>
                <c:pt idx="11">
                  <c:v>-1.4575000000000102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306-45C0-A90E-78E3A209602D}"/>
            </c:ext>
          </c:extLst>
        </c:ser>
        <c:ser>
          <c:idx val="2"/>
          <c:order val="2"/>
          <c:tx>
            <c:strRef>
              <c:f>Model!M3</c:f>
              <c:strCache>
                <c:ptCount val="1"/>
                <c:pt idx="0">
                  <c:v>Zysk skum. Hybryda (zł)</c:v>
                </c:pt>
              </c:strCache>
            </c:strRef>
          </c:tx>
          <c:spPr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Model!$A$4:$A$15</c:f>
              <c:numCache>
                <c:formatCode>0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Model!$M$4:$M$15</c:f>
              <c:numCache>
                <c:formatCode>#,##0.0;\(#,##0.0\);\-</c:formatCode>
                <c:ptCount val="12"/>
                <c:pt idx="0">
                  <c:v>-10.737499999999997</c:v>
                </c:pt>
                <c:pt idx="1">
                  <c:v>-5.6431249999999977</c:v>
                </c:pt>
                <c:pt idx="2">
                  <c:v>-1.9381249999999994</c:v>
                </c:pt>
                <c:pt idx="3">
                  <c:v>1.0258749999999992</c:v>
                </c:pt>
                <c:pt idx="4">
                  <c:v>3.5267499999999927</c:v>
                </c:pt>
                <c:pt idx="5">
                  <c:v>5.6571249999999935</c:v>
                </c:pt>
                <c:pt idx="6">
                  <c:v>7.5096249999999998</c:v>
                </c:pt>
                <c:pt idx="7">
                  <c:v>9.1768749999999955</c:v>
                </c:pt>
                <c:pt idx="8">
                  <c:v>10.658874999999995</c:v>
                </c:pt>
                <c:pt idx="9">
                  <c:v>11.955624999999998</c:v>
                </c:pt>
                <c:pt idx="10">
                  <c:v>13.159750000000003</c:v>
                </c:pt>
                <c:pt idx="11">
                  <c:v>14.271250000000009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8306-45C0-A90E-78E3A20960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1426810"/>
        <c:axId val="86757740"/>
      </c:lineChart>
      <c:catAx>
        <c:axId val="142681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Miesiąc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6757740"/>
        <c:crosses val="autoZero"/>
        <c:auto val="1"/>
        <c:lblAlgn val="ctr"/>
        <c:lblOffset val="100"/>
        <c:noMultiLvlLbl val="0"/>
      </c:catAx>
      <c:valAx>
        <c:axId val="8675774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zł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;\(#,##0.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42681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</xdr:row>
      <xdr:rowOff>160560</xdr:rowOff>
    </xdr:from>
    <xdr:to>
      <xdr:col>15</xdr:col>
      <xdr:colOff>364680</xdr:colOff>
      <xdr:row>18</xdr:row>
      <xdr:rowOff>161640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24"/>
  <sheetViews>
    <sheetView showGridLines="0" tabSelected="1" zoomScaleNormal="100" workbookViewId="0">
      <selection activeCell="B1" sqref="B1"/>
    </sheetView>
  </sheetViews>
  <sheetFormatPr defaultColWidth="8.7109375" defaultRowHeight="15"/>
  <cols>
    <col min="1" max="1" width="3" customWidth="1"/>
    <col min="2" max="2" width="120" customWidth="1"/>
  </cols>
  <sheetData>
    <row r="1" spans="2:2" ht="17.45">
      <c r="B1" s="1" t="s">
        <v>0</v>
      </c>
    </row>
    <row r="3" spans="2:2">
      <c r="B3" s="2" t="s">
        <v>1</v>
      </c>
    </row>
    <row r="4" spans="2:2" ht="30" customHeight="1">
      <c r="B4" s="3" t="s">
        <v>2</v>
      </c>
    </row>
    <row r="6" spans="2:2">
      <c r="B6" s="2" t="s">
        <v>3</v>
      </c>
    </row>
    <row r="7" spans="2:2">
      <c r="B7" s="4" t="s">
        <v>4</v>
      </c>
    </row>
    <row r="8" spans="2:2">
      <c r="B8" s="5" t="s">
        <v>5</v>
      </c>
    </row>
    <row r="9" spans="2:2">
      <c r="B9" s="6" t="s">
        <v>6</v>
      </c>
    </row>
    <row r="10" spans="2:2">
      <c r="B10" s="7" t="s">
        <v>7</v>
      </c>
    </row>
    <row r="11" spans="2:2">
      <c r="B11" s="8"/>
    </row>
    <row r="13" spans="2:2">
      <c r="B13" s="2" t="s">
        <v>8</v>
      </c>
    </row>
    <row r="14" spans="2:2" ht="15" customHeight="1">
      <c r="B14" s="3" t="s">
        <v>9</v>
      </c>
    </row>
    <row r="15" spans="2:2" ht="15" customHeight="1">
      <c r="B15" s="3" t="s">
        <v>10</v>
      </c>
    </row>
    <row r="16" spans="2:2" ht="15" customHeight="1">
      <c r="B16" s="3" t="s">
        <v>11</v>
      </c>
    </row>
    <row r="17" spans="2:2" ht="15" customHeight="1">
      <c r="B17" s="3" t="s">
        <v>12</v>
      </c>
    </row>
    <row r="18" spans="2:2" ht="15" customHeight="1">
      <c r="B18" s="3" t="s">
        <v>13</v>
      </c>
    </row>
    <row r="20" spans="2:2">
      <c r="B20" s="2"/>
    </row>
    <row r="21" spans="2:2" ht="15" customHeight="1">
      <c r="B21" s="3"/>
    </row>
    <row r="22" spans="2:2" ht="30" customHeight="1">
      <c r="B22" s="3"/>
    </row>
    <row r="23" spans="2:2" ht="15" customHeight="1">
      <c r="B23" s="3"/>
    </row>
    <row r="24" spans="2:2" ht="30" customHeight="1">
      <c r="B24" s="3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7"/>
  <sheetViews>
    <sheetView showGridLines="0" zoomScaleNormal="100" workbookViewId="0"/>
  </sheetViews>
  <sheetFormatPr defaultColWidth="8.7109375" defaultRowHeight="15"/>
  <cols>
    <col min="1" max="1" width="46" customWidth="1"/>
    <col min="2" max="2" width="16" customWidth="1"/>
    <col min="3" max="3" width="70" customWidth="1"/>
  </cols>
  <sheetData>
    <row r="1" spans="1:3" ht="17.45">
      <c r="A1" s="1" t="s">
        <v>14</v>
      </c>
    </row>
    <row r="2" spans="1:3">
      <c r="A2" s="8"/>
    </row>
    <row r="4" spans="1:3">
      <c r="A4" s="9" t="s">
        <v>15</v>
      </c>
      <c r="B4" s="9" t="s">
        <v>16</v>
      </c>
      <c r="C4" s="9" t="s">
        <v>17</v>
      </c>
    </row>
    <row r="5" spans="1:3">
      <c r="A5" s="10" t="s">
        <v>18</v>
      </c>
      <c r="B5" s="11">
        <v>100</v>
      </c>
      <c r="C5" s="8" t="s">
        <v>19</v>
      </c>
    </row>
    <row r="6" spans="1:3">
      <c r="A6" s="10" t="s">
        <v>20</v>
      </c>
      <c r="B6" s="12">
        <v>150</v>
      </c>
      <c r="C6" s="8" t="s">
        <v>21</v>
      </c>
    </row>
    <row r="7" spans="1:3">
      <c r="A7" s="10" t="s">
        <v>22</v>
      </c>
      <c r="B7" s="13">
        <v>0.3</v>
      </c>
      <c r="C7" s="8" t="s">
        <v>23</v>
      </c>
    </row>
    <row r="8" spans="1:3">
      <c r="A8" s="10" t="s">
        <v>24</v>
      </c>
      <c r="B8" s="14">
        <v>50</v>
      </c>
      <c r="C8" s="8" t="s">
        <v>25</v>
      </c>
    </row>
    <row r="9" spans="1:3">
      <c r="A9" s="10" t="s">
        <v>26</v>
      </c>
      <c r="B9" s="15">
        <v>0.15</v>
      </c>
      <c r="C9" s="8" t="s">
        <v>27</v>
      </c>
    </row>
    <row r="10" spans="1:3">
      <c r="A10" s="10" t="s">
        <v>28</v>
      </c>
      <c r="B10" s="12">
        <v>65</v>
      </c>
      <c r="C10" s="8" t="s">
        <v>29</v>
      </c>
    </row>
    <row r="11" spans="1:3">
      <c r="A11" s="10" t="s">
        <v>30</v>
      </c>
      <c r="B11" s="15">
        <v>0.05</v>
      </c>
      <c r="C11" s="8" t="s">
        <v>31</v>
      </c>
    </row>
    <row r="12" spans="1:3">
      <c r="A12" s="10" t="s">
        <v>32</v>
      </c>
      <c r="B12" s="12">
        <v>70</v>
      </c>
      <c r="C12" s="8" t="s">
        <v>33</v>
      </c>
    </row>
    <row r="13" spans="1:3">
      <c r="A13" s="10" t="s">
        <v>34</v>
      </c>
      <c r="B13" s="15">
        <v>0.01</v>
      </c>
      <c r="C13" s="8" t="s">
        <v>35</v>
      </c>
    </row>
    <row r="15" spans="1:3" ht="35.1">
      <c r="A15" s="9" t="s">
        <v>36</v>
      </c>
      <c r="B15" s="9" t="s">
        <v>37</v>
      </c>
    </row>
    <row r="16" spans="1:3">
      <c r="A16" s="11">
        <v>1</v>
      </c>
      <c r="B16" s="16">
        <v>1</v>
      </c>
      <c r="C16" s="8" t="s">
        <v>38</v>
      </c>
    </row>
    <row r="17" spans="1:2">
      <c r="A17" s="11">
        <v>2</v>
      </c>
      <c r="B17" s="17">
        <v>0.55000000000000004</v>
      </c>
    </row>
    <row r="18" spans="1:2">
      <c r="A18" s="11">
        <v>3</v>
      </c>
      <c r="B18" s="16">
        <v>0.4</v>
      </c>
    </row>
    <row r="19" spans="1:2">
      <c r="A19" s="11">
        <v>4</v>
      </c>
      <c r="B19" s="16">
        <v>0.32</v>
      </c>
    </row>
    <row r="20" spans="1:2">
      <c r="A20" s="11">
        <v>5</v>
      </c>
      <c r="B20" s="16">
        <v>0.27</v>
      </c>
    </row>
    <row r="21" spans="1:2">
      <c r="A21" s="11">
        <v>6</v>
      </c>
      <c r="B21" s="16">
        <v>0.23</v>
      </c>
    </row>
    <row r="22" spans="1:2">
      <c r="A22" s="11">
        <v>7</v>
      </c>
      <c r="B22" s="16">
        <v>0.2</v>
      </c>
    </row>
    <row r="23" spans="1:2">
      <c r="A23" s="11">
        <v>8</v>
      </c>
      <c r="B23" s="16">
        <v>0.18</v>
      </c>
    </row>
    <row r="24" spans="1:2">
      <c r="A24" s="11">
        <v>9</v>
      </c>
      <c r="B24" s="16">
        <v>0.16</v>
      </c>
    </row>
    <row r="25" spans="1:2">
      <c r="A25" s="11">
        <v>10</v>
      </c>
      <c r="B25" s="16">
        <v>0.14000000000000001</v>
      </c>
    </row>
    <row r="26" spans="1:2">
      <c r="A26" s="11">
        <v>11</v>
      </c>
      <c r="B26" s="16">
        <v>0.13</v>
      </c>
    </row>
    <row r="27" spans="1:2">
      <c r="A27" s="11">
        <v>12</v>
      </c>
      <c r="B27" s="16">
        <v>0.12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8"/>
  <sheetViews>
    <sheetView showGridLines="0" zoomScaleNormal="100" workbookViewId="0">
      <pane xSplit="1" ySplit="3" topLeftCell="B4" activePane="bottomRight" state="frozen"/>
      <selection pane="bottomRight"/>
      <selection pane="bottomLeft" activeCell="A4" sqref="A4"/>
      <selection pane="topRight" activeCell="B1" sqref="B1"/>
    </sheetView>
  </sheetViews>
  <sheetFormatPr defaultColWidth="8.7109375" defaultRowHeight="15"/>
  <cols>
    <col min="1" max="1" width="14" customWidth="1"/>
    <col min="2" max="2" width="10" customWidth="1"/>
    <col min="3" max="4" width="16" customWidth="1"/>
    <col min="5" max="5" width="12" customWidth="1"/>
    <col min="6" max="7" width="14" customWidth="1"/>
    <col min="8" max="8" width="15" customWidth="1"/>
    <col min="9" max="10" width="16" customWidth="1"/>
    <col min="11" max="11" width="14" customWidth="1"/>
    <col min="12" max="13" width="16" customWidth="1"/>
    <col min="14" max="15" width="12" customWidth="1"/>
    <col min="16" max="17" width="14" customWidth="1"/>
  </cols>
  <sheetData>
    <row r="1" spans="1:17" ht="17.45">
      <c r="A1" s="1" t="s">
        <v>39</v>
      </c>
    </row>
    <row r="2" spans="1:17">
      <c r="A2" s="8" t="s">
        <v>40</v>
      </c>
    </row>
    <row r="3" spans="1:17" ht="45" customHeight="1">
      <c r="A3" s="9" t="s">
        <v>36</v>
      </c>
      <c r="B3" s="9" t="s">
        <v>41</v>
      </c>
      <c r="C3" s="9" t="s">
        <v>42</v>
      </c>
      <c r="D3" s="9" t="s">
        <v>43</v>
      </c>
      <c r="E3" s="9" t="s">
        <v>44</v>
      </c>
      <c r="F3" s="9" t="s">
        <v>45</v>
      </c>
      <c r="G3" s="9" t="s">
        <v>46</v>
      </c>
      <c r="H3" s="9" t="s">
        <v>47</v>
      </c>
      <c r="I3" s="9" t="s">
        <v>48</v>
      </c>
      <c r="J3" s="9" t="s">
        <v>49</v>
      </c>
      <c r="K3" s="9" t="s">
        <v>50</v>
      </c>
      <c r="L3" s="9" t="s">
        <v>51</v>
      </c>
      <c r="M3" s="9" t="s">
        <v>52</v>
      </c>
      <c r="N3" s="9" t="s">
        <v>53</v>
      </c>
      <c r="O3" s="9" t="s">
        <v>54</v>
      </c>
      <c r="P3" s="9" t="s">
        <v>55</v>
      </c>
      <c r="Q3" s="9" t="s">
        <v>56</v>
      </c>
    </row>
    <row r="4" spans="1:17">
      <c r="A4" s="18">
        <f>Założenia!A16</f>
        <v>1</v>
      </c>
      <c r="B4" s="19">
        <f>Założenia!B16</f>
        <v>1</v>
      </c>
      <c r="C4" s="20">
        <f>Założenia!$B$10*B4*(1-Założenia!$B$11)</f>
        <v>61.75</v>
      </c>
      <c r="D4" s="20">
        <f>SUM($C$4:C4)</f>
        <v>61.75</v>
      </c>
      <c r="E4" s="20">
        <f>IF(A4=1,Założenia!$B$6,0)</f>
        <v>150</v>
      </c>
      <c r="F4" s="20">
        <f>C4*Założenia!$B$7</f>
        <v>18.524999999999999</v>
      </c>
      <c r="G4" s="20">
        <f>IF(A4=1,Założenia!$B$8,0)+C4*Założenia!$B$9</f>
        <v>59.262500000000003</v>
      </c>
      <c r="H4" s="20">
        <f>SUM($E$4:E4)</f>
        <v>150</v>
      </c>
      <c r="I4" s="20">
        <f>SUM($F$4:F4)</f>
        <v>18.524999999999999</v>
      </c>
      <c r="J4" s="20">
        <f>SUM($G$4:G4)</f>
        <v>59.262500000000003</v>
      </c>
      <c r="K4" s="20">
        <f>H4-Założenia!$B$12</f>
        <v>80</v>
      </c>
      <c r="L4" s="20">
        <f>I4-Założenia!$B$12</f>
        <v>-51.475000000000001</v>
      </c>
      <c r="M4" s="20">
        <f>J4-Założenia!$B$12</f>
        <v>-10.737499999999997</v>
      </c>
      <c r="N4" s="21">
        <f>1/(1+Założenia!$B$13)^(A4-1)</f>
        <v>1</v>
      </c>
      <c r="O4" s="22">
        <f>IF(K4&gt;=0,A4,"")</f>
        <v>1</v>
      </c>
      <c r="P4" s="22" t="str">
        <f>IF(L4&gt;=0,A4,"")</f>
        <v/>
      </c>
      <c r="Q4" s="22" t="str">
        <f>IF(M4&gt;=0,A4,"")</f>
        <v/>
      </c>
    </row>
    <row r="5" spans="1:17">
      <c r="A5" s="18">
        <f>Założenia!A17</f>
        <v>2</v>
      </c>
      <c r="B5" s="19">
        <f>Założenia!B17</f>
        <v>0.55000000000000004</v>
      </c>
      <c r="C5" s="20">
        <f>Założenia!$B$10*B5*(1-Założenia!$B$11)</f>
        <v>33.962499999999999</v>
      </c>
      <c r="D5" s="20">
        <f>SUM($C$4:C5)</f>
        <v>95.712500000000006</v>
      </c>
      <c r="E5" s="20">
        <f>IF(A5=1,Założenia!$B$6,0)</f>
        <v>0</v>
      </c>
      <c r="F5" s="20">
        <f>C5*Założenia!$B$7</f>
        <v>10.188749999999999</v>
      </c>
      <c r="G5" s="20">
        <f>IF(A5=1,Założenia!$B$8,0)+C5*Założenia!$B$9</f>
        <v>5.0943749999999994</v>
      </c>
      <c r="H5" s="20">
        <f>SUM($E$4:E5)</f>
        <v>150</v>
      </c>
      <c r="I5" s="20">
        <f>SUM($F$4:F5)</f>
        <v>28.713749999999997</v>
      </c>
      <c r="J5" s="20">
        <f>SUM($G$4:G5)</f>
        <v>64.356875000000002</v>
      </c>
      <c r="K5" s="20">
        <f>H5-Założenia!$B$12</f>
        <v>80</v>
      </c>
      <c r="L5" s="20">
        <f>I5-Założenia!$B$12</f>
        <v>-41.286250000000003</v>
      </c>
      <c r="M5" s="20">
        <f>J5-Założenia!$B$12</f>
        <v>-5.6431249999999977</v>
      </c>
      <c r="N5" s="21">
        <f>1/(1+Założenia!$B$13)^(A5-1)</f>
        <v>0.99009900990099009</v>
      </c>
      <c r="O5" s="22">
        <f>IF(K5&gt;=0,A5,"")</f>
        <v>2</v>
      </c>
      <c r="P5" s="22" t="str">
        <f>IF(L5&gt;=0,A5,"")</f>
        <v/>
      </c>
      <c r="Q5" s="22" t="str">
        <f>IF(M5&gt;=0,A5,"")</f>
        <v/>
      </c>
    </row>
    <row r="6" spans="1:17">
      <c r="A6" s="18">
        <f>Założenia!A18</f>
        <v>3</v>
      </c>
      <c r="B6" s="19">
        <f>Założenia!B18</f>
        <v>0.4</v>
      </c>
      <c r="C6" s="20">
        <f>Założenia!$B$10*B6*(1-Założenia!$B$11)</f>
        <v>24.7</v>
      </c>
      <c r="D6" s="20">
        <f>SUM($C$4:C6)</f>
        <v>120.41250000000001</v>
      </c>
      <c r="E6" s="20">
        <f>IF(A6=1,Założenia!$B$6,0)</f>
        <v>0</v>
      </c>
      <c r="F6" s="20">
        <f>C6*Założenia!$B$7</f>
        <v>7.4099999999999993</v>
      </c>
      <c r="G6" s="20">
        <f>IF(A6=1,Założenia!$B$8,0)+C6*Założenia!$B$9</f>
        <v>3.7049999999999996</v>
      </c>
      <c r="H6" s="20">
        <f>SUM($E$4:E6)</f>
        <v>150</v>
      </c>
      <c r="I6" s="20">
        <f>SUM($F$4:F6)</f>
        <v>36.123749999999994</v>
      </c>
      <c r="J6" s="20">
        <f>SUM($G$4:G6)</f>
        <v>68.061875000000001</v>
      </c>
      <c r="K6" s="20">
        <f>H6-Założenia!$B$12</f>
        <v>80</v>
      </c>
      <c r="L6" s="20">
        <f>I6-Założenia!$B$12</f>
        <v>-33.876250000000006</v>
      </c>
      <c r="M6" s="20">
        <f>J6-Założenia!$B$12</f>
        <v>-1.9381249999999994</v>
      </c>
      <c r="N6" s="21">
        <f>1/(1+Założenia!$B$13)^(A6-1)</f>
        <v>0.98029604940692083</v>
      </c>
      <c r="O6" s="22">
        <f>IF(K6&gt;=0,A6,"")</f>
        <v>3</v>
      </c>
      <c r="P6" s="22" t="str">
        <f>IF(L6&gt;=0,A6,"")</f>
        <v/>
      </c>
      <c r="Q6" s="22" t="str">
        <f>IF(M6&gt;=0,A6,"")</f>
        <v/>
      </c>
    </row>
    <row r="7" spans="1:17">
      <c r="A7" s="18">
        <f>Założenia!A19</f>
        <v>4</v>
      </c>
      <c r="B7" s="19">
        <f>Założenia!B19</f>
        <v>0.32</v>
      </c>
      <c r="C7" s="20">
        <f>Założenia!$B$10*B7*(1-Założenia!$B$11)</f>
        <v>19.759999999999998</v>
      </c>
      <c r="D7" s="20">
        <f>SUM($C$4:C7)</f>
        <v>140.17250000000001</v>
      </c>
      <c r="E7" s="20">
        <f>IF(A7=1,Założenia!$B$6,0)</f>
        <v>0</v>
      </c>
      <c r="F7" s="20">
        <f>C7*Założenia!$B$7</f>
        <v>5.927999999999999</v>
      </c>
      <c r="G7" s="20">
        <f>IF(A7=1,Założenia!$B$8,0)+C7*Założenia!$B$9</f>
        <v>2.9639999999999995</v>
      </c>
      <c r="H7" s="20">
        <f>SUM($E$4:E7)</f>
        <v>150</v>
      </c>
      <c r="I7" s="20">
        <f>SUM($F$4:F7)</f>
        <v>42.051749999999991</v>
      </c>
      <c r="J7" s="20">
        <f>SUM($G$4:G7)</f>
        <v>71.025874999999999</v>
      </c>
      <c r="K7" s="20">
        <f>H7-Założenia!$B$12</f>
        <v>80</v>
      </c>
      <c r="L7" s="20">
        <f>I7-Założenia!$B$12</f>
        <v>-27.948250000000009</v>
      </c>
      <c r="M7" s="20">
        <f>J7-Założenia!$B$12</f>
        <v>1.0258749999999992</v>
      </c>
      <c r="N7" s="21">
        <f>1/(1+Założenia!$B$13)^(A7-1)</f>
        <v>0.97059014792764453</v>
      </c>
      <c r="O7" s="22">
        <f>IF(K7&gt;=0,A7,"")</f>
        <v>4</v>
      </c>
      <c r="P7" s="22" t="str">
        <f>IF(L7&gt;=0,A7,"")</f>
        <v/>
      </c>
      <c r="Q7" s="22">
        <f>IF(M7&gt;=0,A7,"")</f>
        <v>4</v>
      </c>
    </row>
    <row r="8" spans="1:17">
      <c r="A8" s="18">
        <f>Założenia!A20</f>
        <v>5</v>
      </c>
      <c r="B8" s="19">
        <f>Założenia!B20</f>
        <v>0.27</v>
      </c>
      <c r="C8" s="20">
        <f>Założenia!$B$10*B8*(1-Założenia!$B$11)</f>
        <v>16.672499999999999</v>
      </c>
      <c r="D8" s="20">
        <f>SUM($C$4:C8)</f>
        <v>156.84500000000003</v>
      </c>
      <c r="E8" s="20">
        <f>IF(A8=1,Założenia!$B$6,0)</f>
        <v>0</v>
      </c>
      <c r="F8" s="20">
        <f>C8*Założenia!$B$7</f>
        <v>5.0017499999999995</v>
      </c>
      <c r="G8" s="20">
        <f>IF(A8=1,Założenia!$B$8,0)+C8*Założenia!$B$9</f>
        <v>2.5008749999999997</v>
      </c>
      <c r="H8" s="20">
        <f>SUM($E$4:E8)</f>
        <v>150</v>
      </c>
      <c r="I8" s="20">
        <f>SUM($F$4:F8)</f>
        <v>47.053499999999993</v>
      </c>
      <c r="J8" s="20">
        <f>SUM($G$4:G8)</f>
        <v>73.526749999999993</v>
      </c>
      <c r="K8" s="20">
        <f>H8-Założenia!$B$12</f>
        <v>80</v>
      </c>
      <c r="L8" s="20">
        <f>I8-Założenia!$B$12</f>
        <v>-22.946500000000007</v>
      </c>
      <c r="M8" s="20">
        <f>J8-Założenia!$B$12</f>
        <v>3.5267499999999927</v>
      </c>
      <c r="N8" s="21">
        <f>1/(1+Założenia!$B$13)^(A8-1)</f>
        <v>0.96098034448281622</v>
      </c>
      <c r="O8" s="22">
        <f>IF(K8&gt;=0,A8,"")</f>
        <v>5</v>
      </c>
      <c r="P8" s="22" t="str">
        <f>IF(L8&gt;=0,A8,"")</f>
        <v/>
      </c>
      <c r="Q8" s="22">
        <f>IF(M8&gt;=0,A8,"")</f>
        <v>5</v>
      </c>
    </row>
    <row r="9" spans="1:17">
      <c r="A9" s="18">
        <f>Założenia!A21</f>
        <v>6</v>
      </c>
      <c r="B9" s="19">
        <f>Założenia!B21</f>
        <v>0.23</v>
      </c>
      <c r="C9" s="20">
        <f>Założenia!$B$10*B9*(1-Założenia!$B$11)</f>
        <v>14.202500000000001</v>
      </c>
      <c r="D9" s="20">
        <f>SUM($C$4:C9)</f>
        <v>171.04750000000001</v>
      </c>
      <c r="E9" s="20">
        <f>IF(A9=1,Założenia!$B$6,0)</f>
        <v>0</v>
      </c>
      <c r="F9" s="20">
        <f>C9*Założenia!$B$7</f>
        <v>4.2607499999999998</v>
      </c>
      <c r="G9" s="20">
        <f>IF(A9=1,Założenia!$B$8,0)+C9*Założenia!$B$9</f>
        <v>2.1303749999999999</v>
      </c>
      <c r="H9" s="20">
        <f>SUM($E$4:E9)</f>
        <v>150</v>
      </c>
      <c r="I9" s="20">
        <f>SUM($F$4:F9)</f>
        <v>51.314249999999994</v>
      </c>
      <c r="J9" s="20">
        <f>SUM($G$4:G9)</f>
        <v>75.657124999999994</v>
      </c>
      <c r="K9" s="20">
        <f>H9-Założenia!$B$12</f>
        <v>80</v>
      </c>
      <c r="L9" s="20">
        <f>I9-Założenia!$B$12</f>
        <v>-18.685750000000006</v>
      </c>
      <c r="M9" s="20">
        <f>J9-Założenia!$B$12</f>
        <v>5.6571249999999935</v>
      </c>
      <c r="N9" s="21">
        <f>1/(1+Założenia!$B$13)^(A9-1)</f>
        <v>0.95146568760674888</v>
      </c>
      <c r="O9" s="22">
        <f>IF(K9&gt;=0,A9,"")</f>
        <v>6</v>
      </c>
      <c r="P9" s="22" t="str">
        <f>IF(L9&gt;=0,A9,"")</f>
        <v/>
      </c>
      <c r="Q9" s="22">
        <f>IF(M9&gt;=0,A9,"")</f>
        <v>6</v>
      </c>
    </row>
    <row r="10" spans="1:17">
      <c r="A10" s="18">
        <f>Założenia!A22</f>
        <v>7</v>
      </c>
      <c r="B10" s="19">
        <f>Założenia!B22</f>
        <v>0.2</v>
      </c>
      <c r="C10" s="20">
        <f>Założenia!$B$10*B10*(1-Założenia!$B$11)</f>
        <v>12.35</v>
      </c>
      <c r="D10" s="20">
        <f>SUM($C$4:C10)</f>
        <v>183.39750000000001</v>
      </c>
      <c r="E10" s="20">
        <f>IF(A10=1,Założenia!$B$6,0)</f>
        <v>0</v>
      </c>
      <c r="F10" s="20">
        <f>C10*Założenia!$B$7</f>
        <v>3.7049999999999996</v>
      </c>
      <c r="G10" s="20">
        <f>IF(A10=1,Założenia!$B$8,0)+C10*Założenia!$B$9</f>
        <v>1.8524999999999998</v>
      </c>
      <c r="H10" s="20">
        <f>SUM($E$4:E10)</f>
        <v>150</v>
      </c>
      <c r="I10" s="20">
        <f>SUM($F$4:F10)</f>
        <v>55.019249999999992</v>
      </c>
      <c r="J10" s="20">
        <f>SUM($G$4:G10)</f>
        <v>77.509625</v>
      </c>
      <c r="K10" s="20">
        <f>H10-Założenia!$B$12</f>
        <v>80</v>
      </c>
      <c r="L10" s="20">
        <f>I10-Założenia!$B$12</f>
        <v>-14.980750000000008</v>
      </c>
      <c r="M10" s="20">
        <f>J10-Założenia!$B$12</f>
        <v>7.5096249999999998</v>
      </c>
      <c r="N10" s="21">
        <f>1/(1+Założenia!$B$13)^(A10-1)</f>
        <v>0.94204523525420658</v>
      </c>
      <c r="O10" s="22">
        <f>IF(K10&gt;=0,A10,"")</f>
        <v>7</v>
      </c>
      <c r="P10" s="22" t="str">
        <f>IF(L10&gt;=0,A10,"")</f>
        <v/>
      </c>
      <c r="Q10" s="22">
        <f>IF(M10&gt;=0,A10,"")</f>
        <v>7</v>
      </c>
    </row>
    <row r="11" spans="1:17">
      <c r="A11" s="18">
        <f>Założenia!A23</f>
        <v>8</v>
      </c>
      <c r="B11" s="19">
        <f>Założenia!B23</f>
        <v>0.18</v>
      </c>
      <c r="C11" s="20">
        <f>Założenia!$B$10*B11*(1-Założenia!$B$11)</f>
        <v>11.114999999999998</v>
      </c>
      <c r="D11" s="20">
        <f>SUM($C$4:C11)</f>
        <v>194.51250000000002</v>
      </c>
      <c r="E11" s="20">
        <f>IF(A11=1,Założenia!$B$6,0)</f>
        <v>0</v>
      </c>
      <c r="F11" s="20">
        <f>C11*Założenia!$B$7</f>
        <v>3.3344999999999994</v>
      </c>
      <c r="G11" s="20">
        <f>IF(A11=1,Założenia!$B$8,0)+C11*Założenia!$B$9</f>
        <v>1.6672499999999997</v>
      </c>
      <c r="H11" s="20">
        <f>SUM($E$4:E11)</f>
        <v>150</v>
      </c>
      <c r="I11" s="20">
        <f>SUM($F$4:F11)</f>
        <v>58.353749999999991</v>
      </c>
      <c r="J11" s="20">
        <f>SUM($G$4:G11)</f>
        <v>79.176874999999995</v>
      </c>
      <c r="K11" s="20">
        <f>H11-Założenia!$B$12</f>
        <v>80</v>
      </c>
      <c r="L11" s="20">
        <f>I11-Założenia!$B$12</f>
        <v>-11.646250000000009</v>
      </c>
      <c r="M11" s="20">
        <f>J11-Założenia!$B$12</f>
        <v>9.1768749999999955</v>
      </c>
      <c r="N11" s="21">
        <f>1/(1+Założenia!$B$13)^(A11-1)</f>
        <v>0.93271805470713554</v>
      </c>
      <c r="O11" s="22">
        <f>IF(K11&gt;=0,A11,"")</f>
        <v>8</v>
      </c>
      <c r="P11" s="22" t="str">
        <f>IF(L11&gt;=0,A11,"")</f>
        <v/>
      </c>
      <c r="Q11" s="22">
        <f>IF(M11&gt;=0,A11,"")</f>
        <v>8</v>
      </c>
    </row>
    <row r="12" spans="1:17">
      <c r="A12" s="18">
        <f>Założenia!A24</f>
        <v>9</v>
      </c>
      <c r="B12" s="19">
        <f>Założenia!B24</f>
        <v>0.16</v>
      </c>
      <c r="C12" s="20">
        <f>Założenia!$B$10*B12*(1-Założenia!$B$11)</f>
        <v>9.879999999999999</v>
      </c>
      <c r="D12" s="20">
        <f>SUM($C$4:C12)</f>
        <v>204.39250000000001</v>
      </c>
      <c r="E12" s="20">
        <f>IF(A12=1,Założenia!$B$6,0)</f>
        <v>0</v>
      </c>
      <c r="F12" s="20">
        <f>C12*Założenia!$B$7</f>
        <v>2.9639999999999995</v>
      </c>
      <c r="G12" s="20">
        <f>IF(A12=1,Założenia!$B$8,0)+C12*Założenia!$B$9</f>
        <v>1.4819999999999998</v>
      </c>
      <c r="H12" s="20">
        <f>SUM($E$4:E12)</f>
        <v>150</v>
      </c>
      <c r="I12" s="20">
        <f>SUM($F$4:F12)</f>
        <v>61.31774999999999</v>
      </c>
      <c r="J12" s="20">
        <f>SUM($G$4:G12)</f>
        <v>80.658874999999995</v>
      </c>
      <c r="K12" s="20">
        <f>H12-Założenia!$B$12</f>
        <v>80</v>
      </c>
      <c r="L12" s="20">
        <f>I12-Założenia!$B$12</f>
        <v>-8.6822500000000105</v>
      </c>
      <c r="M12" s="20">
        <f>J12-Założenia!$B$12</f>
        <v>10.658874999999995</v>
      </c>
      <c r="N12" s="21">
        <f>1/(1+Założenia!$B$13)^(A12-1)</f>
        <v>0.92348322248231218</v>
      </c>
      <c r="O12" s="22">
        <f>IF(K12&gt;=0,A12,"")</f>
        <v>9</v>
      </c>
      <c r="P12" s="22" t="str">
        <f>IF(L12&gt;=0,A12,"")</f>
        <v/>
      </c>
      <c r="Q12" s="22">
        <f>IF(M12&gt;=0,A12,"")</f>
        <v>9</v>
      </c>
    </row>
    <row r="13" spans="1:17">
      <c r="A13" s="18">
        <f>Założenia!A25</f>
        <v>10</v>
      </c>
      <c r="B13" s="19">
        <f>Założenia!B25</f>
        <v>0.14000000000000001</v>
      </c>
      <c r="C13" s="20">
        <f>Założenia!$B$10*B13*(1-Założenia!$B$11)</f>
        <v>8.6450000000000014</v>
      </c>
      <c r="D13" s="20">
        <f>SUM($C$4:C13)</f>
        <v>213.03750000000002</v>
      </c>
      <c r="E13" s="20">
        <f>IF(A13=1,Założenia!$B$6,0)</f>
        <v>0</v>
      </c>
      <c r="F13" s="20">
        <f>C13*Założenia!$B$7</f>
        <v>2.5935000000000001</v>
      </c>
      <c r="G13" s="20">
        <f>IF(A13=1,Założenia!$B$8,0)+C13*Założenia!$B$9</f>
        <v>1.2967500000000001</v>
      </c>
      <c r="H13" s="20">
        <f>SUM($E$4:E13)</f>
        <v>150</v>
      </c>
      <c r="I13" s="20">
        <f>SUM($F$4:F13)</f>
        <v>63.911249999999988</v>
      </c>
      <c r="J13" s="20">
        <f>SUM($G$4:G13)</f>
        <v>81.955624999999998</v>
      </c>
      <c r="K13" s="20">
        <f>H13-Założenia!$B$12</f>
        <v>80</v>
      </c>
      <c r="L13" s="20">
        <f>I13-Założenia!$B$12</f>
        <v>-6.0887500000000117</v>
      </c>
      <c r="M13" s="20">
        <f>J13-Założenia!$B$12</f>
        <v>11.955624999999998</v>
      </c>
      <c r="N13" s="21">
        <f>1/(1+Założenia!$B$13)^(A13-1)</f>
        <v>0.91433982423991289</v>
      </c>
      <c r="O13" s="22">
        <f>IF(K13&gt;=0,A13,"")</f>
        <v>10</v>
      </c>
      <c r="P13" s="22" t="str">
        <f>IF(L13&gt;=0,A13,"")</f>
        <v/>
      </c>
      <c r="Q13" s="22">
        <f>IF(M13&gt;=0,A13,"")</f>
        <v>10</v>
      </c>
    </row>
    <row r="14" spans="1:17">
      <c r="A14" s="18">
        <f>Założenia!A26</f>
        <v>11</v>
      </c>
      <c r="B14" s="19">
        <f>Założenia!B26</f>
        <v>0.13</v>
      </c>
      <c r="C14" s="20">
        <f>Założenia!$B$10*B14*(1-Założenia!$B$11)</f>
        <v>8.0274999999999999</v>
      </c>
      <c r="D14" s="20">
        <f>SUM($C$4:C14)</f>
        <v>221.06500000000003</v>
      </c>
      <c r="E14" s="20">
        <f>IF(A14=1,Założenia!$B$6,0)</f>
        <v>0</v>
      </c>
      <c r="F14" s="20">
        <f>C14*Założenia!$B$7</f>
        <v>2.4082499999999998</v>
      </c>
      <c r="G14" s="20">
        <f>IF(A14=1,Założenia!$B$8,0)+C14*Założenia!$B$9</f>
        <v>1.2041249999999999</v>
      </c>
      <c r="H14" s="20">
        <f>SUM($E$4:E14)</f>
        <v>150</v>
      </c>
      <c r="I14" s="20">
        <f>SUM($F$4:F14)</f>
        <v>66.319499999999991</v>
      </c>
      <c r="J14" s="20">
        <f>SUM($G$4:G14)</f>
        <v>83.159750000000003</v>
      </c>
      <c r="K14" s="20">
        <f>H14-Założenia!$B$12</f>
        <v>80</v>
      </c>
      <c r="L14" s="20">
        <f>I14-Założenia!$B$12</f>
        <v>-3.6805000000000092</v>
      </c>
      <c r="M14" s="20">
        <f>J14-Założenia!$B$12</f>
        <v>13.159750000000003</v>
      </c>
      <c r="N14" s="21">
        <f>1/(1+Założenia!$B$13)^(A14-1)</f>
        <v>0.90528695469298315</v>
      </c>
      <c r="O14" s="22">
        <f>IF(K14&gt;=0,A14,"")</f>
        <v>11</v>
      </c>
      <c r="P14" s="22" t="str">
        <f>IF(L14&gt;=0,A14,"")</f>
        <v/>
      </c>
      <c r="Q14" s="22">
        <f>IF(M14&gt;=0,A14,"")</f>
        <v>11</v>
      </c>
    </row>
    <row r="15" spans="1:17">
      <c r="A15" s="18">
        <f>Założenia!A27</f>
        <v>12</v>
      </c>
      <c r="B15" s="19">
        <f>Założenia!B27</f>
        <v>0.12</v>
      </c>
      <c r="C15" s="20">
        <f>Założenia!$B$10*B15*(1-Założenia!$B$11)</f>
        <v>7.4099999999999993</v>
      </c>
      <c r="D15" s="20">
        <f>SUM($C$4:C15)</f>
        <v>228.47500000000002</v>
      </c>
      <c r="E15" s="20">
        <f>IF(A15=1,Założenia!$B$6,0)</f>
        <v>0</v>
      </c>
      <c r="F15" s="20">
        <f>C15*Założenia!$B$7</f>
        <v>2.2229999999999999</v>
      </c>
      <c r="G15" s="20">
        <f>IF(A15=1,Założenia!$B$8,0)+C15*Założenia!$B$9</f>
        <v>1.1114999999999999</v>
      </c>
      <c r="H15" s="20">
        <f>SUM($E$4:E15)</f>
        <v>150</v>
      </c>
      <c r="I15" s="20">
        <f>SUM($F$4:F15)</f>
        <v>68.54249999999999</v>
      </c>
      <c r="J15" s="20">
        <f>SUM($G$4:G15)</f>
        <v>84.271250000000009</v>
      </c>
      <c r="K15" s="20">
        <f>H15-Założenia!$B$12</f>
        <v>80</v>
      </c>
      <c r="L15" s="20">
        <f>I15-Założenia!$B$12</f>
        <v>-1.4575000000000102</v>
      </c>
      <c r="M15" s="20">
        <f>J15-Założenia!$B$12</f>
        <v>14.271250000000009</v>
      </c>
      <c r="N15" s="21">
        <f>1/(1+Założenia!$B$13)^(A15-1)</f>
        <v>0.89632371751780526</v>
      </c>
      <c r="O15" s="22">
        <f>IF(K15&gt;=0,A15,"")</f>
        <v>12</v>
      </c>
      <c r="P15" s="22" t="str">
        <f>IF(L15&gt;=0,A15,"")</f>
        <v/>
      </c>
      <c r="Q15" s="22">
        <f>IF(M15&gt;=0,A15,"")</f>
        <v>12</v>
      </c>
    </row>
    <row r="16" spans="1:17">
      <c r="A16" s="23" t="s">
        <v>57</v>
      </c>
      <c r="C16" s="24">
        <f>SUM(C4:C15)</f>
        <v>228.47500000000002</v>
      </c>
      <c r="E16" s="24">
        <f>SUM(E4:E15)</f>
        <v>150</v>
      </c>
      <c r="F16" s="24">
        <f>SUM(F4:F15)</f>
        <v>68.54249999999999</v>
      </c>
      <c r="G16" s="24">
        <f>SUM(G4:G15)</f>
        <v>84.271250000000009</v>
      </c>
    </row>
    <row r="18" spans="1:1">
      <c r="A18" s="8" t="s">
        <v>58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7"/>
  <sheetViews>
    <sheetView showGridLines="0" zoomScaleNormal="100" workbookViewId="0"/>
  </sheetViews>
  <sheetFormatPr defaultColWidth="8.7109375" defaultRowHeight="15"/>
  <cols>
    <col min="1" max="1" width="58" customWidth="1"/>
    <col min="2" max="4" width="16" customWidth="1"/>
  </cols>
  <sheetData>
    <row r="1" spans="1:4" ht="17.45">
      <c r="A1" s="1" t="s">
        <v>59</v>
      </c>
    </row>
    <row r="3" spans="1:4">
      <c r="A3" s="9" t="s">
        <v>60</v>
      </c>
      <c r="B3" s="9" t="s">
        <v>61</v>
      </c>
      <c r="C3" s="9" t="s">
        <v>62</v>
      </c>
      <c r="D3" s="9" t="s">
        <v>63</v>
      </c>
    </row>
    <row r="4" spans="1:4">
      <c r="A4" s="10" t="s">
        <v>64</v>
      </c>
      <c r="B4" s="25">
        <f>Model!H15</f>
        <v>150</v>
      </c>
      <c r="C4" s="25">
        <f>Model!I15</f>
        <v>68.54249999999999</v>
      </c>
      <c r="D4" s="25">
        <f>Model!J15</f>
        <v>84.271250000000009</v>
      </c>
    </row>
    <row r="5" spans="1:4">
      <c r="A5" s="10" t="s">
        <v>65</v>
      </c>
      <c r="B5" s="20">
        <f>B4-Założenia!$B$12</f>
        <v>80</v>
      </c>
      <c r="C5" s="20">
        <f>C4-Założenia!$B$12</f>
        <v>-1.4575000000000102</v>
      </c>
      <c r="D5" s="20">
        <f>D4-Założenia!$B$12</f>
        <v>14.271250000000009</v>
      </c>
    </row>
    <row r="6" spans="1:4">
      <c r="A6" s="10" t="s">
        <v>66</v>
      </c>
      <c r="B6" s="26">
        <f>B4*Założenia!$B$5</f>
        <v>15000</v>
      </c>
      <c r="C6" s="26">
        <f>C4*Założenia!$B$5</f>
        <v>6854.2499999999991</v>
      </c>
      <c r="D6" s="26">
        <f>D4*Założenia!$B$5</f>
        <v>8427.125</v>
      </c>
    </row>
    <row r="7" spans="1:4">
      <c r="A7" s="10" t="s">
        <v>67</v>
      </c>
      <c r="B7" s="26">
        <f>B5*Założenia!$B$5</f>
        <v>8000</v>
      </c>
      <c r="C7" s="26">
        <f>C5*Założenia!$B$5</f>
        <v>-145.75000000000102</v>
      </c>
      <c r="D7" s="26">
        <f>D5*Założenia!$B$5</f>
        <v>1427.1250000000009</v>
      </c>
    </row>
    <row r="8" spans="1:4">
      <c r="A8" s="10" t="s">
        <v>68</v>
      </c>
      <c r="B8" s="20">
        <f>SUMPRODUCT(Model!E4:E15,Model!N4:N15)</f>
        <v>150</v>
      </c>
      <c r="C8" s="20">
        <f>SUMPRODUCT(Model!F4:F15,Model!N4:N15)</f>
        <v>66.37271976495947</v>
      </c>
      <c r="D8" s="20">
        <f>SUMPRODUCT(Model!G4:G15,Model!N4:N15)</f>
        <v>83.186359882479735</v>
      </c>
    </row>
    <row r="9" spans="1:4">
      <c r="A9" s="10" t="s">
        <v>69</v>
      </c>
      <c r="B9" s="22">
        <f>IF(COUNT(Model!O4:O15)=0,"brak w 12 mies.",MIN(Model!O4:O15))</f>
        <v>1</v>
      </c>
      <c r="C9" s="22" t="str">
        <f>IF(COUNT(Model!P4:P15)=0,"brak w 12 mies.",MIN(Model!P4:P15))</f>
        <v>brak w 12 mies.</v>
      </c>
      <c r="D9" s="22">
        <f>IF(COUNT(Model!Q4:Q15)=0,"brak w 12 mies.",MIN(Model!Q4:Q15))</f>
        <v>4</v>
      </c>
    </row>
    <row r="11" spans="1:4">
      <c r="A11" s="23" t="s">
        <v>70</v>
      </c>
      <c r="B11" s="27" t="str">
        <f>INDEX($B$3:$D$3,MATCH(MAX(B5:D5),B5:D5,0))</f>
        <v>CPA</v>
      </c>
    </row>
    <row r="12" spans="1:4">
      <c r="A12" s="23" t="s">
        <v>71</v>
      </c>
      <c r="B12" s="27" t="str">
        <f>INDEX($B$3:$D$3,MATCH(MAX(B8:D8),B8:D8,0))</f>
        <v>CPA</v>
      </c>
    </row>
    <row r="13" spans="1:4">
      <c r="A13" s="10" t="s">
        <v>72</v>
      </c>
      <c r="B13" s="28">
        <f>Założenia!B6/Założenia!B7</f>
        <v>500</v>
      </c>
    </row>
    <row r="14" spans="1:4">
      <c r="A14" s="10" t="s">
        <v>73</v>
      </c>
      <c r="B14" s="28">
        <f>Model!D15</f>
        <v>228.47500000000002</v>
      </c>
    </row>
    <row r="15" spans="1:4">
      <c r="A15" s="10" t="s">
        <v>74</v>
      </c>
      <c r="B15" s="10" t="str">
        <f>IF(B14&gt;=B13,"TAK","NIE")</f>
        <v>NIE</v>
      </c>
    </row>
    <row r="17" spans="1:1">
      <c r="A17" s="8" t="s">
        <v>75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1"/>
  <sheetViews>
    <sheetView showGridLines="0" zoomScaleNormal="100" workbookViewId="0"/>
  </sheetViews>
  <sheetFormatPr defaultColWidth="8.7109375" defaultRowHeight="15"/>
  <cols>
    <col min="1" max="1" width="34" customWidth="1"/>
    <col min="2" max="2" width="22" customWidth="1"/>
    <col min="3" max="5" width="12" customWidth="1"/>
    <col min="6" max="6" width="18" customWidth="1"/>
  </cols>
  <sheetData>
    <row r="1" spans="1:6" ht="17.45">
      <c r="A1" s="1" t="s">
        <v>76</v>
      </c>
    </row>
    <row r="2" spans="1:6">
      <c r="A2" s="8" t="s">
        <v>77</v>
      </c>
    </row>
    <row r="3" spans="1:6" ht="31.5" customHeight="1">
      <c r="A3" s="9" t="s">
        <v>78</v>
      </c>
      <c r="B3" s="9" t="s">
        <v>79</v>
      </c>
      <c r="C3" s="9" t="s">
        <v>61</v>
      </c>
      <c r="D3" s="9" t="s">
        <v>62</v>
      </c>
      <c r="E3" s="9" t="s">
        <v>63</v>
      </c>
      <c r="F3" s="9" t="s">
        <v>80</v>
      </c>
    </row>
    <row r="4" spans="1:6">
      <c r="A4" s="29">
        <v>0.5</v>
      </c>
      <c r="B4" s="26">
        <f>A4*Model!$D$15</f>
        <v>114.23750000000001</v>
      </c>
      <c r="C4" s="28">
        <f>Założenia!$B$6</f>
        <v>150</v>
      </c>
      <c r="D4" s="26">
        <f>B4*Założenia!$B$7</f>
        <v>34.271250000000002</v>
      </c>
      <c r="E4" s="26">
        <f>Założenia!$B$8+B4*Założenia!$B$9</f>
        <v>67.135625000000005</v>
      </c>
      <c r="F4" s="10" t="str">
        <f>INDEX($C$3:$E$3,MATCH(MAX(C4:E4),C4:E4,0))</f>
        <v>CPA</v>
      </c>
    </row>
    <row r="5" spans="1:6">
      <c r="A5" s="29">
        <v>0.75</v>
      </c>
      <c r="B5" s="26">
        <f>A5*Model!$D$15</f>
        <v>171.35625000000002</v>
      </c>
      <c r="C5" s="28">
        <f>Założenia!$B$6</f>
        <v>150</v>
      </c>
      <c r="D5" s="26">
        <f>B5*Założenia!$B$7</f>
        <v>51.406875000000007</v>
      </c>
      <c r="E5" s="26">
        <f>Założenia!$B$8+B5*Założenia!$B$9</f>
        <v>75.703437500000007</v>
      </c>
      <c r="F5" s="10" t="str">
        <f>INDEX($C$3:$E$3,MATCH(MAX(C5:E5),C5:E5,0))</f>
        <v>CPA</v>
      </c>
    </row>
    <row r="6" spans="1:6">
      <c r="A6" s="29">
        <v>1</v>
      </c>
      <c r="B6" s="26">
        <f>A6*Model!$D$15</f>
        <v>228.47500000000002</v>
      </c>
      <c r="C6" s="28">
        <f>Założenia!$B$6</f>
        <v>150</v>
      </c>
      <c r="D6" s="26">
        <f>B6*Założenia!$B$7</f>
        <v>68.542500000000004</v>
      </c>
      <c r="E6" s="26">
        <f>Założenia!$B$8+B6*Założenia!$B$9</f>
        <v>84.271250000000009</v>
      </c>
      <c r="F6" s="10" t="str">
        <f>INDEX($C$3:$E$3,MATCH(MAX(C6:E6),C6:E6,0))</f>
        <v>CPA</v>
      </c>
    </row>
    <row r="7" spans="1:6">
      <c r="A7" s="29">
        <v>1.5</v>
      </c>
      <c r="B7" s="26">
        <f>A7*Model!$D$15</f>
        <v>342.71250000000003</v>
      </c>
      <c r="C7" s="28">
        <f>Założenia!$B$6</f>
        <v>150</v>
      </c>
      <c r="D7" s="26">
        <f>B7*Założenia!$B$7</f>
        <v>102.81375000000001</v>
      </c>
      <c r="E7" s="26">
        <f>Założenia!$B$8+B7*Założenia!$B$9</f>
        <v>101.40687500000001</v>
      </c>
      <c r="F7" s="10" t="str">
        <f>INDEX($C$3:$E$3,MATCH(MAX(C7:E7),C7:E7,0))</f>
        <v>CPA</v>
      </c>
    </row>
    <row r="8" spans="1:6">
      <c r="A8" s="29">
        <v>2</v>
      </c>
      <c r="B8" s="26">
        <f>A8*Model!$D$15</f>
        <v>456.95000000000005</v>
      </c>
      <c r="C8" s="28">
        <f>Założenia!$B$6</f>
        <v>150</v>
      </c>
      <c r="D8" s="26">
        <f>B8*Założenia!$B$7</f>
        <v>137.08500000000001</v>
      </c>
      <c r="E8" s="26">
        <f>Założenia!$B$8+B8*Założenia!$B$9</f>
        <v>118.5425</v>
      </c>
      <c r="F8" s="10" t="str">
        <f>INDEX($C$3:$E$3,MATCH(MAX(C8:E8),C8:E8,0))</f>
        <v>CPA</v>
      </c>
    </row>
    <row r="9" spans="1:6">
      <c r="A9" s="29">
        <v>2.5</v>
      </c>
      <c r="B9" s="26">
        <f>A9*Model!$D$15</f>
        <v>571.1875</v>
      </c>
      <c r="C9" s="28">
        <f>Założenia!$B$6</f>
        <v>150</v>
      </c>
      <c r="D9" s="26">
        <f>B9*Założenia!$B$7</f>
        <v>171.35624999999999</v>
      </c>
      <c r="E9" s="26">
        <f>Założenia!$B$8+B9*Założenia!$B$9</f>
        <v>135.67812499999999</v>
      </c>
      <c r="F9" s="10" t="str">
        <f>INDEX($C$3:$E$3,MATCH(MAX(C9:E9),C9:E9,0))</f>
        <v>RevShare</v>
      </c>
    </row>
    <row r="11" spans="1:6">
      <c r="A11" s="23" t="s">
        <v>81</v>
      </c>
      <c r="B11" s="30">
        <f>Założenia!B6/(Model!D15*Założenia!B7)</f>
        <v>2.1884232410548199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12"/>
  <sheetViews>
    <sheetView showGridLines="0" zoomScaleNormal="100" workbookViewId="0"/>
  </sheetViews>
  <sheetFormatPr defaultColWidth="8.7109375" defaultRowHeight="15"/>
  <cols>
    <col min="1" max="1" width="130" customWidth="1"/>
  </cols>
  <sheetData>
    <row r="1" spans="1:1" ht="17.45">
      <c r="A1" s="1" t="s">
        <v>82</v>
      </c>
    </row>
    <row r="3" spans="1:1" ht="31.5" customHeight="1">
      <c r="A3" s="31" t="str">
        <f>"1. Po 12 miesiącach najwyższy zysk na 1 FTD daje model: "&amp;Podsumowanie!B11&amp;"."</f>
        <v>1. Po 12 miesiącach najwyższy zysk na 1 FTD daje model: CPA.</v>
      </c>
    </row>
    <row r="4" spans="1:1" ht="31.5" customHeight="1">
      <c r="A4" s="31" t="str">
        <f>"2. Skumulowany NGR gracza ("&amp;ROUND(Podsumowanie!B14,0)&amp;" zł) jest "&amp;IF(Podsumowanie!B14&gt;=Podsumowanie!B13,"WYŻSZY","NIŻSZY")&amp;" niż próg opłacalności RevShare ("&amp;ROUND(Podsumowanie!B13,0)&amp;" zł), więc RevShare "&amp;IF(Podsumowanie!B14&gt;=Podsumowanie!B13,"wygrywa z CPA.","przegrywa z CPA.")</f>
        <v>2. Skumulowany NGR gracza (228 zł) jest NIŻSZY niż próg opłacalności RevShare (500 zł), więc RevShare przegrywa z CPA.</v>
      </c>
    </row>
    <row r="5" spans="1:1" ht="31.5" customHeight="1">
      <c r="A5" s="31" t="str">
        <f>"3. RevShare zrównałby się z CPA, gdyby gracze byli "&amp;ROUND(Scenariusze!B11,2)&amp;" razy bardziej wartościowi niż w założeniach."</f>
        <v>3. RevShare zrównałby się z CPA, gdyby gracze byli 2,19 razy bardziej wartościowi niż w założeniach.</v>
      </c>
    </row>
    <row r="6" spans="1:1" ht="31.5" customHeight="1">
      <c r="A6" s="31" t="str">
        <f>"4. Koszt pozyskania ("&amp;Założenia!B12&amp;" zł) zwraca się w miesiącu: CPA = "&amp;Podsumowanie!B9&amp;", RevShare = "&amp;Podsumowanie!C9&amp;", Hybryda = "&amp;Podsumowanie!D9&amp;"."</f>
        <v>4. Koszt pozyskania (70 zł) zwraca się w miesiącu: CPA = 1, RevShare = brak w 12 mies., Hybryda = 4.</v>
      </c>
    </row>
    <row r="9" spans="1:1">
      <c r="A9" s="23"/>
    </row>
    <row r="10" spans="1:1" ht="30" customHeight="1">
      <c r="A10" s="33" t="s">
        <v>83</v>
      </c>
    </row>
    <row r="11" spans="1:1" ht="30" customHeight="1">
      <c r="A11" s="34" t="s">
        <v>84</v>
      </c>
    </row>
    <row r="12" spans="1:1" ht="30" customHeight="1">
      <c r="A12" s="32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>1</cp:revision>
  <dcterms:created xsi:type="dcterms:W3CDTF">2026-10-17T19:01:33Z</dcterms:created>
  <dcterms:modified xsi:type="dcterms:W3CDTF">2026-10-18T16:32:52Z</dcterms:modified>
  <cp:category/>
  <cp:contentStatus/>
</cp:coreProperties>
</file>