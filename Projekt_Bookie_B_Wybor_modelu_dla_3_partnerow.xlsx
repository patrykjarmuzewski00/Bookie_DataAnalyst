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C5A72A9B-82DC-4DDB-AAC9-7353EF95194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trukcja" sheetId="1" r:id="rId1"/>
    <sheet name="Dane_kohorty" sheetId="2" r:id="rId2"/>
    <sheet name="Założenia" sheetId="3" r:id="rId3"/>
    <sheet name="Analiza" sheetId="4" r:id="rId4"/>
    <sheet name="Portfel" sheetId="5" r:id="rId5"/>
    <sheet name="Wnioski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5" l="1"/>
  <c r="A6" i="5"/>
  <c r="B5" i="5"/>
  <c r="A5" i="5"/>
  <c r="B4" i="5"/>
  <c r="A4" i="5"/>
  <c r="G13" i="4"/>
  <c r="B13" i="4"/>
  <c r="A13" i="4"/>
  <c r="G12" i="4"/>
  <c r="B12" i="4"/>
  <c r="A12" i="4"/>
  <c r="G11" i="4"/>
  <c r="B11" i="4"/>
  <c r="A11" i="4"/>
  <c r="A7" i="4"/>
  <c r="A6" i="4"/>
  <c r="A5" i="4"/>
  <c r="B5" i="4" l="1"/>
  <c r="B6" i="4"/>
  <c r="B7" i="4"/>
  <c r="B7" i="5"/>
  <c r="C4" i="5"/>
  <c r="C5" i="5"/>
  <c r="C6" i="5"/>
  <c r="C7" i="5" l="1"/>
  <c r="H7" i="4"/>
  <c r="G7" i="4"/>
  <c r="F7" i="4"/>
  <c r="E7" i="4"/>
  <c r="D7" i="4"/>
  <c r="C7" i="4"/>
  <c r="I7" i="4" s="1"/>
  <c r="H6" i="4"/>
  <c r="G6" i="4"/>
  <c r="F6" i="4"/>
  <c r="E6" i="4"/>
  <c r="D6" i="4"/>
  <c r="C6" i="4"/>
  <c r="I6" i="4" s="1"/>
  <c r="H5" i="4"/>
  <c r="G5" i="4"/>
  <c r="F5" i="4"/>
  <c r="E5" i="4"/>
  <c r="D5" i="4"/>
  <c r="C5" i="4"/>
  <c r="I5" i="4" s="1"/>
  <c r="L5" i="4" l="1"/>
  <c r="J5" i="4"/>
  <c r="K5" i="4" s="1"/>
  <c r="L6" i="4"/>
  <c r="J6" i="4"/>
  <c r="K6" i="4" s="1"/>
  <c r="L7" i="4"/>
  <c r="J7" i="4"/>
  <c r="K7" i="4" s="1"/>
  <c r="D13" i="4" l="1"/>
  <c r="E6" i="5" s="1"/>
  <c r="C13" i="4"/>
  <c r="D12" i="4"/>
  <c r="E5" i="5" s="1"/>
  <c r="C12" i="4"/>
  <c r="D11" i="4"/>
  <c r="E4" i="5" s="1"/>
  <c r="E7" i="5" s="1"/>
  <c r="C11" i="4"/>
  <c r="F11" i="4" l="1"/>
  <c r="E11" i="4"/>
  <c r="D4" i="5"/>
  <c r="F12" i="4"/>
  <c r="E12" i="4"/>
  <c r="D5" i="5"/>
  <c r="F13" i="4"/>
  <c r="E13" i="4"/>
  <c r="D6" i="5"/>
  <c r="I13" i="4" l="1"/>
  <c r="H13" i="4"/>
  <c r="I12" i="4"/>
  <c r="H12" i="4"/>
  <c r="D7" i="5"/>
  <c r="I11" i="4"/>
  <c r="H11" i="4"/>
  <c r="F4" i="5" l="1"/>
  <c r="A3" i="6"/>
  <c r="F5" i="5"/>
  <c r="A4" i="6"/>
  <c r="F6" i="5"/>
  <c r="A5" i="6"/>
  <c r="G6" i="5" l="1"/>
  <c r="G5" i="5"/>
  <c r="F7" i="5"/>
  <c r="H4" i="5"/>
  <c r="G4" i="5"/>
  <c r="G7" i="5" s="1"/>
  <c r="H6" i="5" l="1"/>
  <c r="H5" i="5"/>
  <c r="B10" i="5" l="1"/>
  <c r="B9" i="5"/>
  <c r="H7" i="5"/>
</calcChain>
</file>

<file path=xl/sharedStrings.xml><?xml version="1.0" encoding="utf-8"?>
<sst xmlns="http://schemas.openxmlformats.org/spreadsheetml/2006/main" count="114" uniqueCount="80">
  <si>
    <t>Projekt Bookie B: wybór modelu rozliczenia dla trzech partnerów</t>
  </si>
  <si>
    <t>Cel projektu</t>
  </si>
  <si>
    <t>Na podstawie historycznych kohort policzyć wartość gracza (LTV) u każdego partnera, porównać oferty (CPA, RevShare, hybryda) i zarekomendować model dla każdego z nich oraz ocenić efekt dla całego portfela.</t>
  </si>
  <si>
    <t>Jak czytać arkusze (legenda kolorów)</t>
  </si>
  <si>
    <t>Niebieski tekst = dane wejściowe i założenia (możesz je zmieniać)</t>
  </si>
  <si>
    <t>Czarny tekst = formuły (nie nadpisuj, chyba że ćwiczysz)</t>
  </si>
  <si>
    <t>Zielony tekst = odwołanie do innego arkusza</t>
  </si>
  <si>
    <t>Żółte tło = kluczowe założenia, od których najbardziej zależy wynik</t>
  </si>
  <si>
    <t>Co jest w pliku</t>
  </si>
  <si>
    <t>Dane_kohorty: 18 kohort historycznych (3 partnerów × 6 miesięcy), NGR w kolejnych miesiącach życia.</t>
  </si>
  <si>
    <t>Założenia: oferty partnerów, nasz koszt pozyskania, planowane FTD i współczynnik ekstrapolacji.</t>
  </si>
  <si>
    <t>Analiza: NGR na gracza w czasie, LTV 6M i 12M, porównanie modeli i rekomendacja.</t>
  </si>
  <si>
    <t>Portfel: zysk w 12 miesięcy dla każdego scenariusza oraz koncentracja zysku.</t>
  </si>
  <si>
    <t>Wnioski: analiza i rekomendacja</t>
  </si>
  <si>
    <t>Dane historyczne kohort (FIKCYJNE)</t>
  </si>
  <si>
    <t>Każdy wiersz = kohorta graczy z jednego miesiąca. NGR w zł łącznie dla całej kohorty w kolejnych miesiącach życia.</t>
  </si>
  <si>
    <t>Partner</t>
  </si>
  <si>
    <t>Kohorta</t>
  </si>
  <si>
    <t>FTD</t>
  </si>
  <si>
    <t>NGR m1 (zł)</t>
  </si>
  <si>
    <t>NGR m2 (zł)</t>
  </si>
  <si>
    <t>NGR m3 (zł)</t>
  </si>
  <si>
    <t>NGR m4 (zł)</t>
  </si>
  <si>
    <t>NGR m5 (zł)</t>
  </si>
  <si>
    <t>NGR m6 (zł)</t>
  </si>
  <si>
    <t>Partner A</t>
  </si>
  <si>
    <t>2025-01</t>
  </si>
  <si>
    <t>2025-02</t>
  </si>
  <si>
    <t>2025-03</t>
  </si>
  <si>
    <t>2025-04</t>
  </si>
  <si>
    <t>2025-05</t>
  </si>
  <si>
    <t>2025-06</t>
  </si>
  <si>
    <t>Partner B</t>
  </si>
  <si>
    <t>Partner C</t>
  </si>
  <si>
    <t>Oferty partnerów i założenia</t>
  </si>
  <si>
    <t>Co każdy partner proponuje i ile graczy planujemy mu wysłać w ciągu 12 miesięcy.</t>
  </si>
  <si>
    <t>CPA (zł/FTD)</t>
  </si>
  <si>
    <t>RevShare (% NGR)</t>
  </si>
  <si>
    <t>Hybryda: CPA (zł)</t>
  </si>
  <si>
    <t>Hybryda: % NGR</t>
  </si>
  <si>
    <t>Nasz koszt pozyskania FTD (zł)</t>
  </si>
  <si>
    <t>Planowane FTD (12 mies.)</t>
  </si>
  <si>
    <t>Miesięczny współczynnik spadku NGR po miesiącu 6</t>
  </si>
  <si>
    <t>Ekstrapolacja miesięcy 7–12: NGR/FTD w m6 × 0,90 w m7, × 0,90² w m8 itd. (założenie, nie fakt).</t>
  </si>
  <si>
    <t>Analiza: wartość gracza (LTV) i najlepszy model dla każdego partnera</t>
  </si>
  <si>
    <t>A. NGR na 1 FTD w kolejnych miesiącach życia gracza (zł) – z danych historycznych</t>
  </si>
  <si>
    <t>FTD łącznie</t>
  </si>
  <si>
    <t>NGR/FTD m1</t>
  </si>
  <si>
    <t>NGR/FTD m2</t>
  </si>
  <si>
    <t>NGR/FTD m3</t>
  </si>
  <si>
    <t>NGR/FTD m4</t>
  </si>
  <si>
    <t>NGR/FTD m5</t>
  </si>
  <si>
    <t>NGR/FTD m6</t>
  </si>
  <si>
    <t>LTV 6M (zł)</t>
  </si>
  <si>
    <t>Ekstrapolacja m7–12 (zł)</t>
  </si>
  <si>
    <t>LTV 12M (zł)</t>
  </si>
  <si>
    <t>Spadek NGR m6 vs m1</t>
  </si>
  <si>
    <t>B. Prowizja na 1 FTD po 12 mies. w każdym modelu (zł) i rekomendacja</t>
  </si>
  <si>
    <t>CPA</t>
  </si>
  <si>
    <t>RevShare</t>
  </si>
  <si>
    <t>Hybryda</t>
  </si>
  <si>
    <t>Rekomendowany model</t>
  </si>
  <si>
    <t>Prowizja na FTD: rekomendowany (zł)</t>
  </si>
  <si>
    <t>Nasz koszt na FTD (zł)</t>
  </si>
  <si>
    <t>Zysk na FTD: rekomendowany (zł)</t>
  </si>
  <si>
    <t>Przewaga nad samym CPA (zł/FTD)</t>
  </si>
  <si>
    <t>Portfel: ile zarobimy w 12 miesięcy przy różnych decyzjach?</t>
  </si>
  <si>
    <t>Planowane FTD</t>
  </si>
  <si>
    <t>Zysk: wszystko CPA (zł)</t>
  </si>
  <si>
    <t>Zysk: wszystko RevShare (zł)</t>
  </si>
  <si>
    <t>Zysk: wszystko Hybryda (zł)</t>
  </si>
  <si>
    <t>Zysk: model rekomendowany (zł)</t>
  </si>
  <si>
    <t>Zysk ponad samo CPA (zł)</t>
  </si>
  <si>
    <t>Udział w zysku portfela</t>
  </si>
  <si>
    <t>Razem</t>
  </si>
  <si>
    <t>Największa koncentracja zysku (udział jednego partnera)</t>
  </si>
  <si>
    <t>Partner o największej koncentracji</t>
  </si>
  <si>
    <t>Wnioski i rekomendacje</t>
  </si>
  <si>
    <t>Dobór modeli zamiast jednego dla wszystkich daje 33100 zł dodatkowego zysku w 12 miesięcy względem samego CPA.</t>
  </si>
  <si>
    <t>Ryzyko | Najbardziej zależymy od partnera: Partner B (41% zysku portfela).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</si>
</sst>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#,##0.0;\(#,##0.0\);\-"/>
  </numFmts>
  <fonts count="10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2F5496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" fontId="4" fillId="0" borderId="1" xfId="0" applyNumberFormat="1" applyFont="1" applyBorder="1"/>
    <xf numFmtId="164" fontId="4" fillId="0" borderId="1" xfId="0" applyNumberFormat="1" applyFont="1" applyBorder="1"/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165" fontId="4" fillId="0" borderId="1" xfId="0" applyNumberFormat="1" applyFont="1" applyBorder="1"/>
    <xf numFmtId="0" fontId="8" fillId="0" borderId="1" xfId="0" applyFont="1" applyBorder="1"/>
    <xf numFmtId="2" fontId="4" fillId="2" borderId="1" xfId="0" applyNumberFormat="1" applyFont="1" applyFill="1" applyBorder="1"/>
    <xf numFmtId="0" fontId="5" fillId="0" borderId="1" xfId="0" applyFont="1" applyBorder="1"/>
    <xf numFmtId="1" fontId="3" fillId="0" borderId="1" xfId="0" applyNumberFormat="1" applyFont="1" applyBorder="1"/>
    <xf numFmtId="166" fontId="3" fillId="0" borderId="1" xfId="0" applyNumberFormat="1" applyFont="1" applyBorder="1"/>
    <xf numFmtId="164" fontId="3" fillId="0" borderId="1" xfId="0" applyNumberFormat="1" applyFont="1" applyBorder="1"/>
    <xf numFmtId="164" fontId="9" fillId="0" borderId="1" xfId="0" applyNumberFormat="1" applyFont="1" applyBorder="1"/>
    <xf numFmtId="9" fontId="3" fillId="0" borderId="1" xfId="0" applyNumberFormat="1" applyFont="1" applyBorder="1"/>
    <xf numFmtId="164" fontId="5" fillId="0" borderId="1" xfId="0" applyNumberFormat="1" applyFont="1" applyBorder="1"/>
    <xf numFmtId="0" fontId="9" fillId="0" borderId="1" xfId="0" applyFont="1" applyBorder="1"/>
    <xf numFmtId="1" fontId="5" fillId="0" borderId="1" xfId="0" applyNumberFormat="1" applyFont="1" applyBorder="1"/>
    <xf numFmtId="9" fontId="9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/>
    <xf numFmtId="0" fontId="9" fillId="2" borderId="1" xfId="0" applyFont="1" applyFill="1" applyBorder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Zysk 12 mies. wg modelu (zł)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Portfel!C3</c:f>
              <c:strCache>
                <c:ptCount val="1"/>
                <c:pt idx="0">
                  <c:v>Zysk: wszystko CPA (zł)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Portfel!$A$4:$A$6</c:f>
              <c:strCache>
                <c:ptCount val="3"/>
                <c:pt idx="0">
                  <c:v>Partner A</c:v>
                </c:pt>
                <c:pt idx="1">
                  <c:v>Partner B</c:v>
                </c:pt>
                <c:pt idx="2">
                  <c:v>Partner C</c:v>
                </c:pt>
              </c:strCache>
            </c:strRef>
          </c:cat>
          <c:val>
            <c:numRef>
              <c:f>Portfel!$C$4:$C$6</c:f>
              <c:numCache>
                <c:formatCode>#,##0;\(#,##0\);\-</c:formatCode>
                <c:ptCount val="3"/>
                <c:pt idx="0">
                  <c:v>12000</c:v>
                </c:pt>
                <c:pt idx="1">
                  <c:v>63000</c:v>
                </c:pt>
                <c:pt idx="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8-4B3B-A4F7-6BFFD225F679}"/>
            </c:ext>
          </c:extLst>
        </c:ser>
        <c:ser>
          <c:idx val="1"/>
          <c:order val="1"/>
          <c:tx>
            <c:strRef>
              <c:f>Portfel!D3</c:f>
              <c:strCache>
                <c:ptCount val="1"/>
                <c:pt idx="0">
                  <c:v>Zysk: wszystko RevShare (zł)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Portfel!$A$4:$A$6</c:f>
              <c:strCache>
                <c:ptCount val="3"/>
                <c:pt idx="0">
                  <c:v>Partner A</c:v>
                </c:pt>
                <c:pt idx="1">
                  <c:v>Partner B</c:v>
                </c:pt>
                <c:pt idx="2">
                  <c:v>Partner C</c:v>
                </c:pt>
              </c:strCache>
            </c:strRef>
          </c:cat>
          <c:val>
            <c:numRef>
              <c:f>Portfel!$D$4:$D$6</c:f>
              <c:numCache>
                <c:formatCode>#,##0;\(#,##0\);\-</c:formatCode>
                <c:ptCount val="3"/>
                <c:pt idx="0">
                  <c:v>34439.977833333331</c:v>
                </c:pt>
                <c:pt idx="1">
                  <c:v>21261.214809464782</c:v>
                </c:pt>
                <c:pt idx="2">
                  <c:v>29923.42442692913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8-4B3B-A4F7-6BFFD225F679}"/>
            </c:ext>
          </c:extLst>
        </c:ser>
        <c:ser>
          <c:idx val="2"/>
          <c:order val="2"/>
          <c:tx>
            <c:strRef>
              <c:f>Portfel!E3</c:f>
              <c:strCache>
                <c:ptCount val="1"/>
                <c:pt idx="0">
                  <c:v>Zysk: wszystko Hybryda (zł)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Portfel!$A$4:$A$6</c:f>
              <c:strCache>
                <c:ptCount val="3"/>
                <c:pt idx="0">
                  <c:v>Partner A</c:v>
                </c:pt>
                <c:pt idx="1">
                  <c:v>Partner B</c:v>
                </c:pt>
                <c:pt idx="2">
                  <c:v>Partner C</c:v>
                </c:pt>
              </c:strCache>
            </c:strRef>
          </c:cat>
          <c:val>
            <c:numRef>
              <c:f>Portfel!$E$4:$E$6</c:f>
              <c:numCache>
                <c:formatCode>#,##0;\(#,##0\);\-</c:formatCode>
                <c:ptCount val="3"/>
                <c:pt idx="0">
                  <c:v>9331.1893599999967</c:v>
                </c:pt>
                <c:pt idx="1">
                  <c:v>18111.949204056335</c:v>
                </c:pt>
                <c:pt idx="2">
                  <c:v>55659.588876377951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98-4B3B-A4F7-6BFFD225F679}"/>
            </c:ext>
          </c:extLst>
        </c:ser>
        <c:ser>
          <c:idx val="3"/>
          <c:order val="3"/>
          <c:tx>
            <c:strRef>
              <c:f>Portfel!F3</c:f>
              <c:strCache>
                <c:ptCount val="1"/>
                <c:pt idx="0">
                  <c:v>Zysk: model rekomendowany (zł)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Portfel!$A$4:$A$6</c:f>
              <c:strCache>
                <c:ptCount val="3"/>
                <c:pt idx="0">
                  <c:v>Partner A</c:v>
                </c:pt>
                <c:pt idx="1">
                  <c:v>Partner B</c:v>
                </c:pt>
                <c:pt idx="2">
                  <c:v>Partner C</c:v>
                </c:pt>
              </c:strCache>
            </c:strRef>
          </c:cat>
          <c:val>
            <c:numRef>
              <c:f>Portfel!$F$4:$F$6</c:f>
              <c:numCache>
                <c:formatCode>#,##0;\(#,##0\);\-</c:formatCode>
                <c:ptCount val="3"/>
                <c:pt idx="0">
                  <c:v>34439.977833333331</c:v>
                </c:pt>
                <c:pt idx="1">
                  <c:v>63000</c:v>
                </c:pt>
                <c:pt idx="2">
                  <c:v>55659.588876377951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98-4B3B-A4F7-6BFFD225F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56897"/>
        <c:axId val="25240692"/>
      </c:barChart>
      <c:catAx>
        <c:axId val="240568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40692"/>
        <c:crosses val="autoZero"/>
        <c:auto val="1"/>
        <c:lblAlgn val="ctr"/>
        <c:lblOffset val="100"/>
        <c:noMultiLvlLbl val="0"/>
      </c:catAx>
      <c:valAx>
        <c:axId val="25240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56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160560</xdr:rowOff>
    </xdr:from>
    <xdr:to>
      <xdr:col>3</xdr:col>
      <xdr:colOff>699840</xdr:colOff>
      <xdr:row>28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4"/>
  <sheetViews>
    <sheetView showGridLines="0" tabSelected="1" zoomScaleNormal="100" workbookViewId="0">
      <selection activeCell="B1" sqref="B1"/>
    </sheetView>
  </sheetViews>
  <sheetFormatPr defaultColWidth="8.7109375" defaultRowHeight="15"/>
  <cols>
    <col min="1" max="1" width="3" customWidth="1"/>
    <col min="2" max="2" width="120" customWidth="1"/>
  </cols>
  <sheetData>
    <row r="1" spans="2:2" ht="17.45">
      <c r="B1" s="1" t="s">
        <v>0</v>
      </c>
    </row>
    <row r="3" spans="2:2">
      <c r="B3" s="2" t="s">
        <v>1</v>
      </c>
    </row>
    <row r="4" spans="2:2" ht="30" customHeight="1">
      <c r="B4" s="3" t="s">
        <v>2</v>
      </c>
    </row>
    <row r="6" spans="2:2">
      <c r="B6" s="2" t="s">
        <v>3</v>
      </c>
    </row>
    <row r="7" spans="2:2">
      <c r="B7" s="4" t="s">
        <v>4</v>
      </c>
    </row>
    <row r="8" spans="2:2">
      <c r="B8" s="5" t="s">
        <v>5</v>
      </c>
    </row>
    <row r="9" spans="2:2">
      <c r="B9" s="6" t="s">
        <v>6</v>
      </c>
    </row>
    <row r="10" spans="2:2">
      <c r="B10" s="7" t="s">
        <v>7</v>
      </c>
    </row>
    <row r="11" spans="2:2">
      <c r="B11" s="8"/>
    </row>
    <row r="13" spans="2:2">
      <c r="B13" s="2" t="s">
        <v>8</v>
      </c>
    </row>
    <row r="14" spans="2:2" ht="15" customHeight="1">
      <c r="B14" s="3" t="s">
        <v>9</v>
      </c>
    </row>
    <row r="15" spans="2:2" ht="15" customHeight="1">
      <c r="B15" s="3" t="s">
        <v>10</v>
      </c>
    </row>
    <row r="16" spans="2:2" ht="15" customHeight="1">
      <c r="B16" s="3" t="s">
        <v>11</v>
      </c>
    </row>
    <row r="17" spans="2:2" ht="15" customHeight="1">
      <c r="B17" s="3" t="s">
        <v>12</v>
      </c>
    </row>
    <row r="18" spans="2:2" ht="15" customHeight="1">
      <c r="B18" s="3" t="s">
        <v>13</v>
      </c>
    </row>
    <row r="20" spans="2:2">
      <c r="B20" s="2"/>
    </row>
    <row r="21" spans="2:2" ht="15" customHeight="1">
      <c r="B21" s="3"/>
    </row>
    <row r="22" spans="2:2" ht="30" customHeight="1">
      <c r="B22" s="3"/>
    </row>
    <row r="23" spans="2:2" ht="30" customHeight="1">
      <c r="B23" s="3"/>
    </row>
    <row r="24" spans="2:2" ht="30" customHeight="1">
      <c r="B24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4" customWidth="1"/>
    <col min="2" max="2" width="12" customWidth="1"/>
    <col min="3" max="3" width="8" customWidth="1"/>
    <col min="4" max="9" width="13" customWidth="1"/>
  </cols>
  <sheetData>
    <row r="1" spans="1:9" ht="17.45">
      <c r="A1" s="1" t="s">
        <v>14</v>
      </c>
    </row>
    <row r="2" spans="1:9">
      <c r="A2" s="8" t="s">
        <v>15</v>
      </c>
    </row>
    <row r="4" spans="1:9" ht="30" customHeight="1">
      <c r="A4" s="9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</row>
    <row r="5" spans="1:9">
      <c r="A5" s="10" t="s">
        <v>25</v>
      </c>
      <c r="B5" s="10" t="s">
        <v>26</v>
      </c>
      <c r="C5" s="11">
        <v>80</v>
      </c>
      <c r="D5" s="12">
        <v>11805</v>
      </c>
      <c r="E5" s="12">
        <v>10064</v>
      </c>
      <c r="F5" s="12">
        <v>7592</v>
      </c>
      <c r="G5" s="12">
        <v>6681</v>
      </c>
      <c r="H5" s="12">
        <v>6038</v>
      </c>
      <c r="I5" s="12">
        <v>6373</v>
      </c>
    </row>
    <row r="6" spans="1:9">
      <c r="A6" s="10" t="s">
        <v>25</v>
      </c>
      <c r="B6" s="10" t="s">
        <v>27</v>
      </c>
      <c r="C6" s="11">
        <v>77</v>
      </c>
      <c r="D6" s="12">
        <v>11302</v>
      </c>
      <c r="E6" s="12">
        <v>9096</v>
      </c>
      <c r="F6" s="12">
        <v>6976</v>
      </c>
      <c r="G6" s="12">
        <v>6540</v>
      </c>
      <c r="H6" s="12">
        <v>6321</v>
      </c>
      <c r="I6" s="12">
        <v>5298</v>
      </c>
    </row>
    <row r="7" spans="1:9">
      <c r="A7" s="10" t="s">
        <v>25</v>
      </c>
      <c r="B7" s="10" t="s">
        <v>28</v>
      </c>
      <c r="C7" s="11">
        <v>66</v>
      </c>
      <c r="D7" s="12">
        <v>11016</v>
      </c>
      <c r="E7" s="12">
        <v>8239</v>
      </c>
      <c r="F7" s="12">
        <v>6494</v>
      </c>
      <c r="G7" s="12">
        <v>5880</v>
      </c>
      <c r="H7" s="12">
        <v>5172</v>
      </c>
      <c r="I7" s="12">
        <v>5386</v>
      </c>
    </row>
    <row r="8" spans="1:9">
      <c r="A8" s="10" t="s">
        <v>25</v>
      </c>
      <c r="B8" s="10" t="s">
        <v>29</v>
      </c>
      <c r="C8" s="11">
        <v>84</v>
      </c>
      <c r="D8" s="12">
        <v>14262</v>
      </c>
      <c r="E8" s="12">
        <v>10479</v>
      </c>
      <c r="F8" s="12">
        <v>8132</v>
      </c>
      <c r="G8" s="12">
        <v>7039</v>
      </c>
      <c r="H8" s="12">
        <v>7518</v>
      </c>
      <c r="I8" s="12">
        <v>6175</v>
      </c>
    </row>
    <row r="9" spans="1:9">
      <c r="A9" s="10" t="s">
        <v>25</v>
      </c>
      <c r="B9" s="10" t="s">
        <v>30</v>
      </c>
      <c r="C9" s="11">
        <v>62</v>
      </c>
      <c r="D9" s="12">
        <v>9682</v>
      </c>
      <c r="E9" s="12">
        <v>7230</v>
      </c>
      <c r="F9" s="12">
        <v>6007</v>
      </c>
      <c r="G9" s="12">
        <v>5317</v>
      </c>
      <c r="H9" s="12">
        <v>4620</v>
      </c>
      <c r="I9" s="12">
        <v>4674</v>
      </c>
    </row>
    <row r="10" spans="1:9">
      <c r="A10" s="10" t="s">
        <v>25</v>
      </c>
      <c r="B10" s="10" t="s">
        <v>31</v>
      </c>
      <c r="C10" s="11">
        <v>63</v>
      </c>
      <c r="D10" s="12">
        <v>11034</v>
      </c>
      <c r="E10" s="12">
        <v>7376</v>
      </c>
      <c r="F10" s="12">
        <v>6366</v>
      </c>
      <c r="G10" s="12">
        <v>6044</v>
      </c>
      <c r="H10" s="12">
        <v>5288</v>
      </c>
      <c r="I10" s="12">
        <v>5134</v>
      </c>
    </row>
    <row r="11" spans="1:9">
      <c r="A11" s="10" t="s">
        <v>32</v>
      </c>
      <c r="B11" s="10" t="s">
        <v>26</v>
      </c>
      <c r="C11" s="11">
        <v>174</v>
      </c>
      <c r="D11" s="12">
        <v>21734</v>
      </c>
      <c r="E11" s="12">
        <v>7119</v>
      </c>
      <c r="F11" s="12">
        <v>4113</v>
      </c>
      <c r="G11" s="12">
        <v>2667</v>
      </c>
      <c r="H11" s="12">
        <v>1913</v>
      </c>
      <c r="I11" s="12">
        <v>1647</v>
      </c>
    </row>
    <row r="12" spans="1:9">
      <c r="A12" s="10" t="s">
        <v>32</v>
      </c>
      <c r="B12" s="10" t="s">
        <v>27</v>
      </c>
      <c r="C12" s="11">
        <v>162</v>
      </c>
      <c r="D12" s="12">
        <v>18974</v>
      </c>
      <c r="E12" s="12">
        <v>7222</v>
      </c>
      <c r="F12" s="12">
        <v>4321</v>
      </c>
      <c r="G12" s="12">
        <v>2417</v>
      </c>
      <c r="H12" s="12">
        <v>1888</v>
      </c>
      <c r="I12" s="12">
        <v>1675</v>
      </c>
    </row>
    <row r="13" spans="1:9">
      <c r="A13" s="10" t="s">
        <v>32</v>
      </c>
      <c r="B13" s="10" t="s">
        <v>28</v>
      </c>
      <c r="C13" s="11">
        <v>159</v>
      </c>
      <c r="D13" s="12">
        <v>19496</v>
      </c>
      <c r="E13" s="12">
        <v>6684</v>
      </c>
      <c r="F13" s="12">
        <v>4157</v>
      </c>
      <c r="G13" s="12">
        <v>2373</v>
      </c>
      <c r="H13" s="12">
        <v>1862</v>
      </c>
      <c r="I13" s="12">
        <v>1746</v>
      </c>
    </row>
    <row r="14" spans="1:9">
      <c r="A14" s="10" t="s">
        <v>32</v>
      </c>
      <c r="B14" s="10" t="s">
        <v>29</v>
      </c>
      <c r="C14" s="11">
        <v>178</v>
      </c>
      <c r="D14" s="12">
        <v>22149</v>
      </c>
      <c r="E14" s="12">
        <v>8559</v>
      </c>
      <c r="F14" s="12">
        <v>4696</v>
      </c>
      <c r="G14" s="12">
        <v>2694</v>
      </c>
      <c r="H14" s="12">
        <v>1936</v>
      </c>
      <c r="I14" s="12">
        <v>1714</v>
      </c>
    </row>
    <row r="15" spans="1:9">
      <c r="A15" s="10" t="s">
        <v>32</v>
      </c>
      <c r="B15" s="10" t="s">
        <v>30</v>
      </c>
      <c r="C15" s="11">
        <v>184</v>
      </c>
      <c r="D15" s="12">
        <v>20164</v>
      </c>
      <c r="E15" s="12">
        <v>8964</v>
      </c>
      <c r="F15" s="12">
        <v>4662</v>
      </c>
      <c r="G15" s="12">
        <v>3072</v>
      </c>
      <c r="H15" s="12">
        <v>2081</v>
      </c>
      <c r="I15" s="12">
        <v>1840</v>
      </c>
    </row>
    <row r="16" spans="1:9">
      <c r="A16" s="10" t="s">
        <v>32</v>
      </c>
      <c r="B16" s="10" t="s">
        <v>31</v>
      </c>
      <c r="C16" s="11">
        <v>208</v>
      </c>
      <c r="D16" s="12">
        <v>23177</v>
      </c>
      <c r="E16" s="12">
        <v>8685</v>
      </c>
      <c r="F16" s="12">
        <v>5455</v>
      </c>
      <c r="G16" s="12">
        <v>3354</v>
      </c>
      <c r="H16" s="12">
        <v>2619</v>
      </c>
      <c r="I16" s="12">
        <v>2050</v>
      </c>
    </row>
    <row r="17" spans="1:9">
      <c r="A17" s="10" t="s">
        <v>33</v>
      </c>
      <c r="B17" s="10" t="s">
        <v>26</v>
      </c>
      <c r="C17" s="11">
        <v>117</v>
      </c>
      <c r="D17" s="12">
        <v>14904</v>
      </c>
      <c r="E17" s="12">
        <v>9387</v>
      </c>
      <c r="F17" s="12">
        <v>8362</v>
      </c>
      <c r="G17" s="12">
        <v>6447</v>
      </c>
      <c r="H17" s="12">
        <v>5157</v>
      </c>
      <c r="I17" s="12">
        <v>4575</v>
      </c>
    </row>
    <row r="18" spans="1:9">
      <c r="A18" s="10" t="s">
        <v>33</v>
      </c>
      <c r="B18" s="10" t="s">
        <v>27</v>
      </c>
      <c r="C18" s="11">
        <v>87</v>
      </c>
      <c r="D18" s="12">
        <v>10525</v>
      </c>
      <c r="E18" s="12">
        <v>6892</v>
      </c>
      <c r="F18" s="12">
        <v>5859</v>
      </c>
      <c r="G18" s="12">
        <v>4877</v>
      </c>
      <c r="H18" s="12">
        <v>4080</v>
      </c>
      <c r="I18" s="12">
        <v>3813</v>
      </c>
    </row>
    <row r="19" spans="1:9">
      <c r="A19" s="10" t="s">
        <v>33</v>
      </c>
      <c r="B19" s="10" t="s">
        <v>28</v>
      </c>
      <c r="C19" s="11">
        <v>109</v>
      </c>
      <c r="D19" s="12">
        <v>14253</v>
      </c>
      <c r="E19" s="12">
        <v>10138</v>
      </c>
      <c r="F19" s="12">
        <v>7596</v>
      </c>
      <c r="G19" s="12">
        <v>5409</v>
      </c>
      <c r="H19" s="12">
        <v>5463</v>
      </c>
      <c r="I19" s="12">
        <v>4857</v>
      </c>
    </row>
    <row r="20" spans="1:9">
      <c r="A20" s="10" t="s">
        <v>33</v>
      </c>
      <c r="B20" s="10" t="s">
        <v>29</v>
      </c>
      <c r="C20" s="11">
        <v>114</v>
      </c>
      <c r="D20" s="12">
        <v>15564</v>
      </c>
      <c r="E20" s="12">
        <v>10211</v>
      </c>
      <c r="F20" s="12">
        <v>7173</v>
      </c>
      <c r="G20" s="12">
        <v>6011</v>
      </c>
      <c r="H20" s="12">
        <v>5098</v>
      </c>
      <c r="I20" s="12">
        <v>4415</v>
      </c>
    </row>
    <row r="21" spans="1:9">
      <c r="A21" s="10" t="s">
        <v>33</v>
      </c>
      <c r="B21" s="10" t="s">
        <v>30</v>
      </c>
      <c r="C21" s="11">
        <v>96</v>
      </c>
      <c r="D21" s="12">
        <v>13658</v>
      </c>
      <c r="E21" s="12">
        <v>8588</v>
      </c>
      <c r="F21" s="12">
        <v>6250</v>
      </c>
      <c r="G21" s="12">
        <v>4864</v>
      </c>
      <c r="H21" s="12">
        <v>4723</v>
      </c>
      <c r="I21" s="12">
        <v>4410</v>
      </c>
    </row>
    <row r="22" spans="1:9">
      <c r="A22" s="10" t="s">
        <v>33</v>
      </c>
      <c r="B22" s="10" t="s">
        <v>31</v>
      </c>
      <c r="C22" s="11">
        <v>112</v>
      </c>
      <c r="D22" s="12">
        <v>14877</v>
      </c>
      <c r="E22" s="12">
        <v>8859</v>
      </c>
      <c r="F22" s="12">
        <v>7662</v>
      </c>
      <c r="G22" s="12">
        <v>6209</v>
      </c>
      <c r="H22" s="12">
        <v>5676</v>
      </c>
      <c r="I22" s="12">
        <v>4845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zoomScaleNormal="100" workbookViewId="0"/>
  </sheetViews>
  <sheetFormatPr defaultColWidth="8.7109375" defaultRowHeight="15"/>
  <cols>
    <col min="1" max="1" width="42" customWidth="1"/>
    <col min="2" max="2" width="14" customWidth="1"/>
    <col min="3" max="4" width="16" customWidth="1"/>
    <col min="5" max="5" width="14" customWidth="1"/>
    <col min="6" max="6" width="22" customWidth="1"/>
    <col min="7" max="7" width="20" customWidth="1"/>
  </cols>
  <sheetData>
    <row r="1" spans="1:7" ht="17.45">
      <c r="A1" s="1" t="s">
        <v>34</v>
      </c>
    </row>
    <row r="2" spans="1:7">
      <c r="A2" s="8" t="s">
        <v>35</v>
      </c>
    </row>
    <row r="4" spans="1:7" ht="45" customHeight="1">
      <c r="A4" s="9" t="s">
        <v>16</v>
      </c>
      <c r="B4" s="9" t="s">
        <v>36</v>
      </c>
      <c r="C4" s="9" t="s">
        <v>37</v>
      </c>
      <c r="D4" s="9" t="s">
        <v>38</v>
      </c>
      <c r="E4" s="9" t="s">
        <v>39</v>
      </c>
      <c r="F4" s="9" t="s">
        <v>40</v>
      </c>
      <c r="G4" s="9" t="s">
        <v>41</v>
      </c>
    </row>
    <row r="5" spans="1:7">
      <c r="A5" s="10" t="s">
        <v>25</v>
      </c>
      <c r="B5" s="13">
        <v>180</v>
      </c>
      <c r="C5" s="14">
        <v>0.25</v>
      </c>
      <c r="D5" s="12">
        <v>60</v>
      </c>
      <c r="E5" s="15">
        <v>0.12</v>
      </c>
      <c r="F5" s="12">
        <v>150</v>
      </c>
      <c r="G5" s="11">
        <v>400</v>
      </c>
    </row>
    <row r="6" spans="1:7">
      <c r="A6" s="10" t="s">
        <v>32</v>
      </c>
      <c r="B6" s="13">
        <v>140</v>
      </c>
      <c r="C6" s="14">
        <v>0.35</v>
      </c>
      <c r="D6" s="12">
        <v>50</v>
      </c>
      <c r="E6" s="15">
        <v>0.15</v>
      </c>
      <c r="F6" s="12">
        <v>70</v>
      </c>
      <c r="G6" s="11">
        <v>900</v>
      </c>
    </row>
    <row r="7" spans="1:7">
      <c r="A7" s="10" t="s">
        <v>33</v>
      </c>
      <c r="B7" s="13">
        <v>200</v>
      </c>
      <c r="C7" s="14">
        <v>0.28000000000000003</v>
      </c>
      <c r="D7" s="12">
        <v>100</v>
      </c>
      <c r="E7" s="15">
        <v>0.2</v>
      </c>
      <c r="F7" s="12">
        <v>110</v>
      </c>
      <c r="G7" s="11">
        <v>500</v>
      </c>
    </row>
    <row r="9" spans="1:7">
      <c r="A9" s="16" t="s">
        <v>42</v>
      </c>
      <c r="B9" s="17">
        <v>0.9</v>
      </c>
      <c r="C9" s="8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showGridLines="0" zoomScaleNormal="100" workbookViewId="0"/>
  </sheetViews>
  <sheetFormatPr defaultColWidth="8.7109375" defaultRowHeight="15"/>
  <cols>
    <col min="1" max="1" width="16" customWidth="1"/>
    <col min="2" max="4" width="14" customWidth="1"/>
    <col min="5" max="5" width="20" customWidth="1"/>
    <col min="6" max="6" width="22" customWidth="1"/>
    <col min="7" max="7" width="18" customWidth="1"/>
    <col min="8" max="9" width="20" customWidth="1"/>
    <col min="10" max="10" width="16" customWidth="1"/>
    <col min="11" max="12" width="14" customWidth="1"/>
  </cols>
  <sheetData>
    <row r="1" spans="1:12" ht="17.45">
      <c r="A1" s="1" t="s">
        <v>44</v>
      </c>
    </row>
    <row r="3" spans="1:12">
      <c r="A3" s="2" t="s">
        <v>45</v>
      </c>
    </row>
    <row r="4" spans="1:12" ht="45" customHeight="1">
      <c r="A4" s="9" t="s">
        <v>16</v>
      </c>
      <c r="B4" s="9" t="s">
        <v>46</v>
      </c>
      <c r="C4" s="9" t="s">
        <v>47</v>
      </c>
      <c r="D4" s="9" t="s">
        <v>48</v>
      </c>
      <c r="E4" s="9" t="s">
        <v>49</v>
      </c>
      <c r="F4" s="9" t="s">
        <v>50</v>
      </c>
      <c r="G4" s="9" t="s">
        <v>51</v>
      </c>
      <c r="H4" s="9" t="s">
        <v>52</v>
      </c>
      <c r="I4" s="9" t="s">
        <v>53</v>
      </c>
      <c r="J4" s="9" t="s">
        <v>54</v>
      </c>
      <c r="K4" s="9" t="s">
        <v>55</v>
      </c>
      <c r="L4" s="9" t="s">
        <v>56</v>
      </c>
    </row>
    <row r="5" spans="1:12">
      <c r="A5" s="18" t="str">
        <f>Założenia!A5</f>
        <v>Partner A</v>
      </c>
      <c r="B5" s="19">
        <f>SUMIFS(Dane_kohorty!$C$5:$C$22,Dane_kohorty!$A$5:$A$22,$A5)</f>
        <v>432</v>
      </c>
      <c r="C5" s="20">
        <f>SUMIFS(Dane_kohorty!D$5:D$22,Dane_kohorty!$A$5:$A$22,$A5)/$B5</f>
        <v>159.9560185185185</v>
      </c>
      <c r="D5" s="20">
        <f>SUMIFS(Dane_kohorty!E$5:E$22,Dane_kohorty!$A$5:$A$22,$A5)/$B5</f>
        <v>121.49074074074075</v>
      </c>
      <c r="E5" s="20">
        <f>SUMIFS(Dane_kohorty!F$5:F$22,Dane_kohorty!$A$5:$A$22,$A5)/$B5</f>
        <v>96.219907407407405</v>
      </c>
      <c r="F5" s="20">
        <f>SUMIFS(Dane_kohorty!G$5:G$22,Dane_kohorty!$A$5:$A$22,$A5)/$B5</f>
        <v>86.807870370370367</v>
      </c>
      <c r="G5" s="20">
        <f>SUMIFS(Dane_kohorty!H$5:H$22,Dane_kohorty!$A$5:$A$22,$A5)/$B5</f>
        <v>80.918981481481481</v>
      </c>
      <c r="H5" s="20">
        <f>SUMIFS(Dane_kohorty!I$5:I$22,Dane_kohorty!$A$5:$A$22,$A5)/$B5</f>
        <v>76.481481481481481</v>
      </c>
      <c r="I5" s="21">
        <f>SUM(C5:H5)</f>
        <v>621.875</v>
      </c>
      <c r="J5" s="21">
        <f>H5*Założenia!$B$9*(1-Założenia!$B$9^6)/(1-Założenia!$B$9)</f>
        <v>322.5247783333333</v>
      </c>
      <c r="K5" s="22">
        <f>I5+J5</f>
        <v>944.3997783333333</v>
      </c>
      <c r="L5" s="23">
        <f>H5/C5</f>
        <v>0.47814069260936892</v>
      </c>
    </row>
    <row r="6" spans="1:12">
      <c r="A6" s="18" t="str">
        <f>Założenia!A6</f>
        <v>Partner B</v>
      </c>
      <c r="B6" s="19">
        <f>SUMIFS(Dane_kohorty!$C$5:$C$22,Dane_kohorty!$A$5:$A$22,$A6)</f>
        <v>1065</v>
      </c>
      <c r="C6" s="20">
        <f>SUMIFS(Dane_kohorty!D$5:D$22,Dane_kohorty!$A$5:$A$22,$A6)/$B6</f>
        <v>118.02253521126761</v>
      </c>
      <c r="D6" s="20">
        <f>SUMIFS(Dane_kohorty!E$5:E$22,Dane_kohorty!$A$5:$A$22,$A6)/$B6</f>
        <v>44.350234741784035</v>
      </c>
      <c r="E6" s="20">
        <f>SUMIFS(Dane_kohorty!F$5:F$22,Dane_kohorty!$A$5:$A$22,$A6)/$B6</f>
        <v>25.731455399061034</v>
      </c>
      <c r="F6" s="20">
        <f>SUMIFS(Dane_kohorty!G$5:G$22,Dane_kohorty!$A$5:$A$22,$A6)/$B6</f>
        <v>15.565258215962441</v>
      </c>
      <c r="G6" s="20">
        <f>SUMIFS(Dane_kohorty!H$5:H$22,Dane_kohorty!$A$5:$A$22,$A6)/$B6</f>
        <v>11.548356807511738</v>
      </c>
      <c r="H6" s="20">
        <f>SUMIFS(Dane_kohorty!I$5:I$22,Dane_kohorty!$A$5:$A$22,$A6)/$B6</f>
        <v>10.020657276995305</v>
      </c>
      <c r="I6" s="21">
        <f>SUM(C6:H6)</f>
        <v>225.23849765258217</v>
      </c>
      <c r="J6" s="21">
        <f>H6*Założenia!$B$9*(1-Założenia!$B$9^6)/(1-Założenia!$B$9)</f>
        <v>42.257422377464778</v>
      </c>
      <c r="K6" s="22">
        <f>I6+J6</f>
        <v>267.49592003004693</v>
      </c>
      <c r="L6" s="23">
        <f>H6/C6</f>
        <v>8.490460960745938E-2</v>
      </c>
    </row>
    <row r="7" spans="1:12">
      <c r="A7" s="18" t="str">
        <f>Założenia!A7</f>
        <v>Partner C</v>
      </c>
      <c r="B7" s="19">
        <f>SUMIFS(Dane_kohorty!$C$5:$C$22,Dane_kohorty!$A$5:$A$22,$A7)</f>
        <v>635</v>
      </c>
      <c r="C7" s="20">
        <f>SUMIFS(Dane_kohorty!D$5:D$22,Dane_kohorty!$A$5:$A$22,$A7)/$B7</f>
        <v>131.93858267716536</v>
      </c>
      <c r="D7" s="20">
        <f>SUMIFS(Dane_kohorty!E$5:E$22,Dane_kohorty!$A$5:$A$22,$A7)/$B7</f>
        <v>85.157480314960637</v>
      </c>
      <c r="E7" s="20">
        <f>SUMIFS(Dane_kohorty!F$5:F$22,Dane_kohorty!$A$5:$A$22,$A7)/$B7</f>
        <v>67.562204724409455</v>
      </c>
      <c r="F7" s="20">
        <f>SUMIFS(Dane_kohorty!G$5:G$22,Dane_kohorty!$A$5:$A$22,$A7)/$B7</f>
        <v>53.255118110236218</v>
      </c>
      <c r="G7" s="20">
        <f>SUMIFS(Dane_kohorty!H$5:H$22,Dane_kohorty!$A$5:$A$22,$A7)/$B7</f>
        <v>47.554330708661418</v>
      </c>
      <c r="H7" s="20">
        <f>SUMIFS(Dane_kohorty!I$5:I$22,Dane_kohorty!$A$5:$A$22,$A7)/$B7</f>
        <v>42.385826771653541</v>
      </c>
      <c r="I7" s="21">
        <f>SUM(C7:H7)</f>
        <v>427.85354330708662</v>
      </c>
      <c r="J7" s="21">
        <f>H7*Założenia!$B$9*(1-Założenia!$B$9^6)/(1-Założenia!$B$9)</f>
        <v>178.7423454566929</v>
      </c>
      <c r="K7" s="22">
        <f>I7+J7</f>
        <v>606.5958887637795</v>
      </c>
      <c r="L7" s="23">
        <f>H7/C7</f>
        <v>0.32125422231770923</v>
      </c>
    </row>
    <row r="9" spans="1:12">
      <c r="A9" s="2" t="s">
        <v>57</v>
      </c>
    </row>
    <row r="10" spans="1:12" ht="57.75" customHeight="1">
      <c r="A10" s="9" t="s">
        <v>16</v>
      </c>
      <c r="B10" s="9" t="s">
        <v>58</v>
      </c>
      <c r="C10" s="9" t="s">
        <v>59</v>
      </c>
      <c r="D10" s="9" t="s">
        <v>60</v>
      </c>
      <c r="E10" s="9" t="s">
        <v>61</v>
      </c>
      <c r="F10" s="9" t="s">
        <v>62</v>
      </c>
      <c r="G10" s="9" t="s">
        <v>63</v>
      </c>
      <c r="H10" s="9" t="s">
        <v>64</v>
      </c>
      <c r="I10" s="9" t="s">
        <v>65</v>
      </c>
    </row>
    <row r="11" spans="1:12">
      <c r="A11" s="18" t="str">
        <f>Założenia!A5</f>
        <v>Partner A</v>
      </c>
      <c r="B11" s="24">
        <f>Założenia!B5</f>
        <v>180</v>
      </c>
      <c r="C11" s="21">
        <f>K5*Założenia!C5</f>
        <v>236.09994458333333</v>
      </c>
      <c r="D11" s="21">
        <f>Założenia!D5+K5*Założenia!E5</f>
        <v>173.32797339999999</v>
      </c>
      <c r="E11" s="25" t="str">
        <f>INDEX($B$10:$D$10,MATCH(MAX(B11:D11),B11:D11,0))</f>
        <v>RevShare</v>
      </c>
      <c r="F11" s="21">
        <f>MAX(B11:D11)</f>
        <v>236.09994458333333</v>
      </c>
      <c r="G11" s="24">
        <f>Założenia!F5</f>
        <v>150</v>
      </c>
      <c r="H11" s="21">
        <f>F11-G11</f>
        <v>86.099944583333325</v>
      </c>
      <c r="I11" s="21">
        <f>F11-B11</f>
        <v>56.099944583333325</v>
      </c>
    </row>
    <row r="12" spans="1:12">
      <c r="A12" s="18" t="str">
        <f>Założenia!A6</f>
        <v>Partner B</v>
      </c>
      <c r="B12" s="24">
        <f>Założenia!B6</f>
        <v>140</v>
      </c>
      <c r="C12" s="21">
        <f>K6*Założenia!C6</f>
        <v>93.623572010516426</v>
      </c>
      <c r="D12" s="21">
        <f>Założenia!D6+K6*Założenia!E6</f>
        <v>90.12438800450704</v>
      </c>
      <c r="E12" s="25" t="str">
        <f>INDEX($B$10:$D$10,MATCH(MAX(B12:D12),B12:D12,0))</f>
        <v>CPA</v>
      </c>
      <c r="F12" s="21">
        <f>MAX(B12:D12)</f>
        <v>140</v>
      </c>
      <c r="G12" s="24">
        <f>Założenia!F6</f>
        <v>70</v>
      </c>
      <c r="H12" s="21">
        <f>F12-G12</f>
        <v>70</v>
      </c>
      <c r="I12" s="21">
        <f>F12-B12</f>
        <v>0</v>
      </c>
    </row>
    <row r="13" spans="1:12">
      <c r="A13" s="18" t="str">
        <f>Założenia!A7</f>
        <v>Partner C</v>
      </c>
      <c r="B13" s="24">
        <f>Założenia!B7</f>
        <v>200</v>
      </c>
      <c r="C13" s="21">
        <f>K7*Założenia!C7</f>
        <v>169.84684885385826</v>
      </c>
      <c r="D13" s="21">
        <f>Założenia!D7+K7*Założenia!E7</f>
        <v>221.31917775275591</v>
      </c>
      <c r="E13" s="25" t="str">
        <f>INDEX($B$10:$D$10,MATCH(MAX(B13:D13),B13:D13,0))</f>
        <v>Hybryda</v>
      </c>
      <c r="F13" s="21">
        <f>MAX(B13:D13)</f>
        <v>221.31917775275591</v>
      </c>
      <c r="G13" s="24">
        <f>Założenia!F7</f>
        <v>110</v>
      </c>
      <c r="H13" s="21">
        <f>F13-G13</f>
        <v>111.31917775275591</v>
      </c>
      <c r="I13" s="21">
        <f>F13-B13</f>
        <v>21.319177752755905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zoomScaleNormal="100" workbookViewId="0"/>
  </sheetViews>
  <sheetFormatPr defaultColWidth="8.7109375" defaultRowHeight="15"/>
  <cols>
    <col min="1" max="1" width="48" customWidth="1"/>
    <col min="2" max="2" width="16" customWidth="1"/>
    <col min="3" max="3" width="18" customWidth="1"/>
    <col min="4" max="5" width="20" customWidth="1"/>
    <col min="6" max="6" width="22" customWidth="1"/>
    <col min="7" max="7" width="18" customWidth="1"/>
    <col min="8" max="8" width="16" customWidth="1"/>
  </cols>
  <sheetData>
    <row r="1" spans="1:8" ht="17.45">
      <c r="A1" s="1" t="s">
        <v>66</v>
      </c>
    </row>
    <row r="3" spans="1:8" ht="45" customHeight="1">
      <c r="A3" s="9" t="s">
        <v>16</v>
      </c>
      <c r="B3" s="9" t="s">
        <v>67</v>
      </c>
      <c r="C3" s="9" t="s">
        <v>68</v>
      </c>
      <c r="D3" s="9" t="s">
        <v>69</v>
      </c>
      <c r="E3" s="9" t="s">
        <v>70</v>
      </c>
      <c r="F3" s="9" t="s">
        <v>71</v>
      </c>
      <c r="G3" s="9" t="s">
        <v>72</v>
      </c>
      <c r="H3" s="9" t="s">
        <v>73</v>
      </c>
    </row>
    <row r="4" spans="1:8">
      <c r="A4" s="18" t="str">
        <f>Założenia!A5</f>
        <v>Partner A</v>
      </c>
      <c r="B4" s="26">
        <f>Założenia!G5</f>
        <v>400</v>
      </c>
      <c r="C4" s="21">
        <f>B4*(Analiza!B11-Założenia!F5)</f>
        <v>12000</v>
      </c>
      <c r="D4" s="21">
        <f>B4*(Analiza!C11-Założenia!F5)</f>
        <v>34439.977833333331</v>
      </c>
      <c r="E4" s="21">
        <f>B4*(Analiza!D11-Założenia!F5)</f>
        <v>9331.1893599999967</v>
      </c>
      <c r="F4" s="22">
        <f>B4*Analiza!H11</f>
        <v>34439.977833333331</v>
      </c>
      <c r="G4" s="21">
        <f>F4-C4</f>
        <v>22439.977833333331</v>
      </c>
      <c r="H4" s="23">
        <f>F4/$F$7</f>
        <v>0.22495150426280577</v>
      </c>
    </row>
    <row r="5" spans="1:8">
      <c r="A5" s="18" t="str">
        <f>Założenia!A6</f>
        <v>Partner B</v>
      </c>
      <c r="B5" s="26">
        <f>Założenia!G6</f>
        <v>900</v>
      </c>
      <c r="C5" s="21">
        <f>B5*(Analiza!B12-Założenia!F6)</f>
        <v>63000</v>
      </c>
      <c r="D5" s="21">
        <f>B5*(Analiza!C12-Założenia!F6)</f>
        <v>21261.214809464782</v>
      </c>
      <c r="E5" s="21">
        <f>B5*(Analiza!D12-Założenia!F6)</f>
        <v>18111.949204056335</v>
      </c>
      <c r="F5" s="22">
        <f>B5*Analiza!H12</f>
        <v>63000</v>
      </c>
      <c r="G5" s="21">
        <f>F5-C5</f>
        <v>0</v>
      </c>
      <c r="H5" s="23">
        <f>F5/$F$7</f>
        <v>0.41149691899163188</v>
      </c>
    </row>
    <row r="6" spans="1:8">
      <c r="A6" s="18" t="str">
        <f>Założenia!A7</f>
        <v>Partner C</v>
      </c>
      <c r="B6" s="26">
        <f>Założenia!G7</f>
        <v>500</v>
      </c>
      <c r="C6" s="21">
        <f>B6*(Analiza!B13-Założenia!F7)</f>
        <v>45000</v>
      </c>
      <c r="D6" s="21">
        <f>B6*(Analiza!C13-Założenia!F7)</f>
        <v>29923.42442692913</v>
      </c>
      <c r="E6" s="21">
        <f>B6*(Analiza!D13-Założenia!F7)</f>
        <v>55659.588876377951</v>
      </c>
      <c r="F6" s="22">
        <f>B6*Analiza!H13</f>
        <v>55659.588876377951</v>
      </c>
      <c r="G6" s="21">
        <f>F6-C6</f>
        <v>10659.588876377951</v>
      </c>
      <c r="H6" s="23">
        <f>F6/$F$7</f>
        <v>0.36355157674556243</v>
      </c>
    </row>
    <row r="7" spans="1:8">
      <c r="A7" s="16" t="s">
        <v>74</v>
      </c>
      <c r="B7" s="22">
        <f>SUM(B4:B6)</f>
        <v>1800</v>
      </c>
      <c r="C7" s="22">
        <f>SUM(C4:C6)</f>
        <v>120000</v>
      </c>
      <c r="D7" s="22">
        <f>SUM(D4:D6)</f>
        <v>85624.617069727246</v>
      </c>
      <c r="E7" s="22">
        <f>SUM(E4:E6)</f>
        <v>83102.727440434275</v>
      </c>
      <c r="F7" s="22">
        <f>SUM(F4:F6)</f>
        <v>153099.56670971127</v>
      </c>
      <c r="G7" s="22">
        <f>SUM(G4:G6)</f>
        <v>33099.566709711282</v>
      </c>
      <c r="H7" s="27">
        <f>SUM(H4:H6)</f>
        <v>1</v>
      </c>
    </row>
    <row r="9" spans="1:8">
      <c r="A9" s="28" t="s">
        <v>75</v>
      </c>
      <c r="B9" s="23">
        <f>MAX(H4:H6)</f>
        <v>0.41149691899163188</v>
      </c>
    </row>
    <row r="10" spans="1:8">
      <c r="A10" s="28" t="s">
        <v>76</v>
      </c>
      <c r="B10" s="28" t="str">
        <f>INDEX(A4:A6,MATCH(MAX(H4:H6),H4:H6,0))</f>
        <v>Partner B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4"/>
  <sheetViews>
    <sheetView showGridLines="0" zoomScaleNormal="100" workbookViewId="0"/>
  </sheetViews>
  <sheetFormatPr defaultColWidth="8.7109375" defaultRowHeight="15"/>
  <cols>
    <col min="1" max="1" width="130" customWidth="1"/>
  </cols>
  <sheetData>
    <row r="1" spans="1:1" ht="17.45">
      <c r="A1" s="1" t="s">
        <v>77</v>
      </c>
    </row>
    <row r="3" spans="1:1" ht="30" customHeight="1">
      <c r="A3" s="29" t="str">
        <f>"1. "&amp;Analiza!A11&amp;": rekomendowany model to "&amp;Analiza!E11&amp;" (prowizja "&amp;ROUND(Analiza!F11,0)&amp;" zł na FTD, zysk "&amp;ROUND(Analiza!H11,0)&amp;" zł)."</f>
        <v>1. Partner A: rekomendowany model to RevShare (prowizja 236 zł na FTD, zysk 86 zł).</v>
      </c>
    </row>
    <row r="4" spans="1:1" ht="30" customHeight="1">
      <c r="A4" s="29" t="str">
        <f>"2. "&amp;Analiza!A12&amp;": rekomendowany model to "&amp;Analiza!E12&amp;" (prowizja "&amp;ROUND(Analiza!F12,0)&amp;" zł na FTD, zysk "&amp;ROUND(Analiza!H12,0)&amp;" zł)."</f>
        <v>2. Partner B: rekomendowany model to CPA (prowizja 140 zł na FTD, zysk 70 zł).</v>
      </c>
    </row>
    <row r="5" spans="1:1" ht="30" customHeight="1">
      <c r="A5" s="29" t="str">
        <f>"3. "&amp;Analiza!A13&amp;": rekomendowany model to "&amp;Analiza!E13&amp;" (prowizja "&amp;ROUND(Analiza!F13,0)&amp;" zł na FTD, zysk "&amp;ROUND(Analiza!H13,0)&amp;" zł)."</f>
        <v>3. Partner C: rekomendowany model to Hybryda (prowizja 221 zł na FTD, zysk 111 zł).</v>
      </c>
    </row>
    <row r="6" spans="1:1" ht="30" customHeight="1">
      <c r="A6" s="29"/>
    </row>
    <row r="7" spans="1:1" ht="30" customHeight="1">
      <c r="A7" s="29"/>
    </row>
    <row r="10" spans="1:1">
      <c r="A10" s="16"/>
    </row>
    <row r="11" spans="1:1" ht="30" customHeight="1">
      <c r="A11" s="31" t="s">
        <v>78</v>
      </c>
    </row>
    <row r="12" spans="1:1" ht="30" customHeight="1">
      <c r="A12" s="31" t="s">
        <v>79</v>
      </c>
    </row>
    <row r="13" spans="1:1" ht="30" customHeight="1">
      <c r="A13" s="30"/>
    </row>
    <row r="14" spans="1:1" ht="30" customHeight="1">
      <c r="A14" s="3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2026-10-17T19:01:33Z</dcterms:created>
  <dcterms:modified xsi:type="dcterms:W3CDTF">2026-10-18T16:33:01Z</dcterms:modified>
  <cp:category/>
  <cp:contentStatus/>
</cp:coreProperties>
</file>