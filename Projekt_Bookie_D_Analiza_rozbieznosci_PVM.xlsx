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87002AD4-3151-4D0C-B8AD-EFCDEB5E062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Instrukcja" sheetId="1" r:id="rId1"/>
    <sheet name="Dane" sheetId="2" r:id="rId2"/>
    <sheet name="Analiza_PVM" sheetId="3" r:id="rId3"/>
    <sheet name="Podsumowanie" sheetId="4" r:id="rId4"/>
    <sheet name="Wnioski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3" l="1"/>
  <c r="I16" i="3"/>
  <c r="H16" i="3"/>
  <c r="E16" i="3"/>
  <c r="K16" i="3" s="1"/>
  <c r="D16" i="3"/>
  <c r="F16" i="3" s="1"/>
  <c r="C16" i="3"/>
  <c r="B16" i="3"/>
  <c r="A16" i="3"/>
  <c r="J15" i="3"/>
  <c r="I15" i="3"/>
  <c r="H15" i="3"/>
  <c r="E15" i="3"/>
  <c r="K15" i="3" s="1"/>
  <c r="D15" i="3"/>
  <c r="F15" i="3" s="1"/>
  <c r="C15" i="3"/>
  <c r="B15" i="3"/>
  <c r="A15" i="3"/>
  <c r="J14" i="3"/>
  <c r="I14" i="3"/>
  <c r="H14" i="3"/>
  <c r="E14" i="3"/>
  <c r="K14" i="3" s="1"/>
  <c r="D14" i="3"/>
  <c r="F14" i="3" s="1"/>
  <c r="C14" i="3"/>
  <c r="B14" i="3"/>
  <c r="A14" i="3"/>
  <c r="J13" i="3"/>
  <c r="I13" i="3"/>
  <c r="H13" i="3"/>
  <c r="E13" i="3"/>
  <c r="K13" i="3" s="1"/>
  <c r="D13" i="3"/>
  <c r="F13" i="3" s="1"/>
  <c r="C13" i="3"/>
  <c r="B13" i="3"/>
  <c r="A13" i="3"/>
  <c r="J12" i="3"/>
  <c r="I12" i="3"/>
  <c r="H12" i="3"/>
  <c r="E12" i="3"/>
  <c r="K12" i="3" s="1"/>
  <c r="D12" i="3"/>
  <c r="F12" i="3" s="1"/>
  <c r="C12" i="3"/>
  <c r="B12" i="3"/>
  <c r="A12" i="3"/>
  <c r="J11" i="3"/>
  <c r="I11" i="3"/>
  <c r="H11" i="3"/>
  <c r="E11" i="3"/>
  <c r="K11" i="3" s="1"/>
  <c r="D11" i="3"/>
  <c r="F11" i="3" s="1"/>
  <c r="C11" i="3"/>
  <c r="B11" i="3"/>
  <c r="A11" i="3"/>
  <c r="J10" i="3"/>
  <c r="I10" i="3"/>
  <c r="H10" i="3"/>
  <c r="E10" i="3"/>
  <c r="K10" i="3" s="1"/>
  <c r="D10" i="3"/>
  <c r="F10" i="3" s="1"/>
  <c r="C10" i="3"/>
  <c r="B10" i="3"/>
  <c r="A10" i="3"/>
  <c r="J9" i="3"/>
  <c r="I9" i="3"/>
  <c r="H9" i="3"/>
  <c r="E9" i="3"/>
  <c r="K9" i="3" s="1"/>
  <c r="D9" i="3"/>
  <c r="F9" i="3" s="1"/>
  <c r="C9" i="3"/>
  <c r="B9" i="3"/>
  <c r="A9" i="3"/>
  <c r="J8" i="3"/>
  <c r="I8" i="3"/>
  <c r="H8" i="3"/>
  <c r="E8" i="3"/>
  <c r="K8" i="3" s="1"/>
  <c r="D8" i="3"/>
  <c r="F8" i="3" s="1"/>
  <c r="C8" i="3"/>
  <c r="B8" i="3"/>
  <c r="A8" i="3"/>
  <c r="J7" i="3"/>
  <c r="I7" i="3"/>
  <c r="H7" i="3"/>
  <c r="E7" i="3"/>
  <c r="K7" i="3" s="1"/>
  <c r="D7" i="3"/>
  <c r="F7" i="3" s="1"/>
  <c r="C7" i="3"/>
  <c r="B7" i="3"/>
  <c r="A7" i="3"/>
  <c r="J6" i="3"/>
  <c r="I6" i="3"/>
  <c r="H6" i="3"/>
  <c r="E6" i="3"/>
  <c r="K6" i="3" s="1"/>
  <c r="D6" i="3"/>
  <c r="F6" i="3" s="1"/>
  <c r="C6" i="3"/>
  <c r="B6" i="3"/>
  <c r="A6" i="3"/>
  <c r="J5" i="3"/>
  <c r="J17" i="3" s="1"/>
  <c r="I5" i="3"/>
  <c r="I17" i="3" s="1"/>
  <c r="H5" i="3"/>
  <c r="H17" i="3" s="1"/>
  <c r="E5" i="3"/>
  <c r="D5" i="3"/>
  <c r="C5" i="3"/>
  <c r="C17" i="3" s="1"/>
  <c r="B5" i="3"/>
  <c r="A5" i="3"/>
  <c r="I7" i="4" l="1"/>
  <c r="H7" i="4"/>
  <c r="G7" i="4"/>
  <c r="F7" i="4"/>
  <c r="J7" i="4" s="1"/>
  <c r="C7" i="4"/>
  <c r="B7" i="4"/>
  <c r="I6" i="4"/>
  <c r="H6" i="4"/>
  <c r="G6" i="4"/>
  <c r="F6" i="4"/>
  <c r="J6" i="4" s="1"/>
  <c r="C6" i="4"/>
  <c r="B6" i="4"/>
  <c r="I5" i="4"/>
  <c r="H5" i="4"/>
  <c r="G5" i="4"/>
  <c r="F5" i="4"/>
  <c r="J5" i="4" s="1"/>
  <c r="C5" i="4"/>
  <c r="B5" i="4"/>
  <c r="H4" i="4"/>
  <c r="H8" i="4" s="1"/>
  <c r="G4" i="4"/>
  <c r="G8" i="4" s="1"/>
  <c r="F4" i="4"/>
  <c r="B4" i="4"/>
  <c r="B8" i="4" s="1"/>
  <c r="D17" i="3"/>
  <c r="F5" i="3"/>
  <c r="E17" i="3"/>
  <c r="K5" i="3"/>
  <c r="G6" i="3"/>
  <c r="G7" i="3"/>
  <c r="G8" i="3"/>
  <c r="G9" i="3"/>
  <c r="G10" i="3"/>
  <c r="G11" i="3"/>
  <c r="G12" i="3"/>
  <c r="G13" i="3"/>
  <c r="G14" i="3"/>
  <c r="G15" i="3"/>
  <c r="G16" i="3"/>
  <c r="M16" i="3" l="1"/>
  <c r="L16" i="3"/>
  <c r="M15" i="3"/>
  <c r="L15" i="3"/>
  <c r="M14" i="3"/>
  <c r="L14" i="3"/>
  <c r="D7" i="4"/>
  <c r="E7" i="4" s="1"/>
  <c r="M13" i="3"/>
  <c r="L13" i="3"/>
  <c r="M12" i="3"/>
  <c r="L12" i="3"/>
  <c r="M11" i="3"/>
  <c r="L11" i="3"/>
  <c r="D6" i="4"/>
  <c r="E6" i="4" s="1"/>
  <c r="M10" i="3"/>
  <c r="L10" i="3"/>
  <c r="M9" i="3"/>
  <c r="L9" i="3"/>
  <c r="M8" i="3"/>
  <c r="L8" i="3"/>
  <c r="D5" i="4"/>
  <c r="E5" i="4" s="1"/>
  <c r="M7" i="3"/>
  <c r="L7" i="3"/>
  <c r="M6" i="3"/>
  <c r="L6" i="3"/>
  <c r="K17" i="3"/>
  <c r="I4" i="4"/>
  <c r="I8" i="4" s="1"/>
  <c r="F17" i="3"/>
  <c r="G5" i="3"/>
  <c r="C4" i="4"/>
  <c r="C8" i="4" s="1"/>
  <c r="F8" i="4"/>
  <c r="J4" i="4"/>
  <c r="A6" i="5" l="1"/>
  <c r="A4" i="5"/>
  <c r="G17" i="3"/>
  <c r="M5" i="3"/>
  <c r="L5" i="3"/>
  <c r="L17" i="3" s="1"/>
  <c r="D4" i="4"/>
  <c r="B12" i="4" l="1"/>
  <c r="B11" i="4"/>
  <c r="A5" i="5" s="1"/>
  <c r="D8" i="4"/>
  <c r="E4" i="4"/>
  <c r="E8" i="4" l="1"/>
  <c r="A3" i="5" s="1"/>
  <c r="B10" i="4"/>
</calcChain>
</file>

<file path=xl/sharedStrings.xml><?xml version="1.0" encoding="utf-8"?>
<sst xmlns="http://schemas.openxmlformats.org/spreadsheetml/2006/main" count="101" uniqueCount="68">
  <si>
    <t>Projekt Bookie D: analiza rozbieżności forecast vs wykonanie metodą PVM</t>
  </si>
  <si>
    <t>Cel projektu</t>
  </si>
  <si>
    <t>Wyjaśnić, dlaczego prowizja różni się od planu: rozbić odchylenie na efekt ruchu, jakości graczy, stawki i zdarzeń jednorazowych oraz wskazać, co zrobić z każdym partnerem.</t>
  </si>
  <si>
    <t>Jak czytać arkusze (legenda kolorów)</t>
  </si>
  <si>
    <t>Niebieski tekst = dane wejściowe i założenia (możesz je zmieniać)</t>
  </si>
  <si>
    <t>Czarny tekst = formuły (nie nadpisuj, chyba że ćwiczysz)</t>
  </si>
  <si>
    <t>Zielony tekst = odwołanie do innego arkusza</t>
  </si>
  <si>
    <t>Żółte tło = kluczowe założenia, od których najbardziej zależy wynik</t>
  </si>
  <si>
    <t>Co jest w pliku</t>
  </si>
  <si>
    <t>Dane: plan i wykonanie dla 4 partnerów w 3 miesiącach, z opisem zdarzeń.</t>
  </si>
  <si>
    <t>Analiza_PVM: dla każdego wiersza prowizja plan i wykonanie, rozbicie odchylenia na czynniki i kontrola sumy.</t>
  </si>
  <si>
    <t>Podsumowanie: zestawienie wg partnera, największy czynnik, wykres słupkowy skumulowany.</t>
  </si>
  <si>
    <t>Wnioski: zdania generowane z liczb plus miejsce na Twoje wyjaśnienie dla przełożonego.</t>
  </si>
  <si>
    <t>Plan vs wykonanie: III kwartał 2026 (dane FIKCYJNE)</t>
  </si>
  <si>
    <t>Prowizja = FTD × NGR na FTD × stawka. Korekty jednorazowe dotyczą tylko wykonania (np. negative carryover, korekta faktury).</t>
  </si>
  <si>
    <t>Partner</t>
  </si>
  <si>
    <t>Miesiąc</t>
  </si>
  <si>
    <t>FTD plan</t>
  </si>
  <si>
    <t>NGR/FTD plan (zł)</t>
  </si>
  <si>
    <t>Stawka plan</t>
  </si>
  <si>
    <t>FTD wykonanie</t>
  </si>
  <si>
    <t>NGR/FTD wykonanie (zł)</t>
  </si>
  <si>
    <t>Stawka wykonanie</t>
  </si>
  <si>
    <t>Korekty jednorazowe (zł)</t>
  </si>
  <si>
    <t>Co się wydarzyło</t>
  </si>
  <si>
    <t>Partner A</t>
  </si>
  <si>
    <t>Lipiec</t>
  </si>
  <si>
    <t>Zgodnie z planem</t>
  </si>
  <si>
    <t>Sierpień</t>
  </si>
  <si>
    <t>Wrzesień</t>
  </si>
  <si>
    <t>Partner obniżył stawkę z 30% do 25%</t>
  </si>
  <si>
    <t>Partner B</t>
  </si>
  <si>
    <t>Nieco mniej ruchu</t>
  </si>
  <si>
    <t>Spadek pozycji w Google, mniej kliknięć</t>
  </si>
  <si>
    <t>Spadek pozycji utrzymał się</t>
  </si>
  <si>
    <t>Partner C</t>
  </si>
  <si>
    <t>Więcej graczy polujących na bonusy</t>
  </si>
  <si>
    <t>Negative carryover z poprzedniego okresu: korekta -3 500 zł</t>
  </si>
  <si>
    <t>Partner D</t>
  </si>
  <si>
    <t>Dodatkowa kampania promocyjna</t>
  </si>
  <si>
    <t>Kampania działała dalej</t>
  </si>
  <si>
    <t>Rozbicie odchylenia prowizji na czynniki (PVM)</t>
  </si>
  <si>
    <t>Efekt ruchu = (FTD wyk. − FTD plan) × NGR/FTD plan × stawka plan. Efekt jakości = FTD wyk. × (NGR/FTD wyk. − plan) × stawka plan. Efekt stawki = FTD wyk. × NGR/FTD wyk. × (stawka wyk. − plan).</t>
  </si>
  <si>
    <t>Prowizja plan (zł)</t>
  </si>
  <si>
    <t>Prowizja wykonanie przed korektami (zł)</t>
  </si>
  <si>
    <t>Prowizja wykonanie razem (zł)</t>
  </si>
  <si>
    <t>Odchylenie całkowite (zł)</t>
  </si>
  <si>
    <t>Efekt ruchu (zł)</t>
  </si>
  <si>
    <t>Efekt jakości (zł)</t>
  </si>
  <si>
    <t>Efekt stawki (zł)</t>
  </si>
  <si>
    <t>Efekt jednorazowy (zł)</t>
  </si>
  <si>
    <t>Kontrola (powinno być 0)</t>
  </si>
  <si>
    <t>Największy czynnik</t>
  </si>
  <si>
    <t>Razem</t>
  </si>
  <si>
    <t>Podsumowanie wg partnera</t>
  </si>
  <si>
    <t>Plan (zł)</t>
  </si>
  <si>
    <t>Wykonanie (zł)</t>
  </si>
  <si>
    <t>Odchylenie (zł)</t>
  </si>
  <si>
    <t>Odchylenie (%)</t>
  </si>
  <si>
    <t>Największy czynnik (wg wartości bezwzględnej)</t>
  </si>
  <si>
    <t>Kontrola: suma efektów − odchylenie całkowite (powinno być 0)</t>
  </si>
  <si>
    <t>Partner z największym ujemnym odchyleniem</t>
  </si>
  <si>
    <t>Partner z największym dodatnim odchyleniem</t>
  </si>
  <si>
    <t>Wnioski: co się stało i co robimy dalej</t>
  </si>
  <si>
    <t>Partner A | Rozmowa o przywróceniu stawki, argumenty: wolumen i jakość graczy. Przygotować alternatywę w rankingu</t>
  </si>
  <si>
    <t>Partner B | Zespół SEO sprawdza pozycje i treści, odzyskanie widoczności</t>
  </si>
  <si>
    <t>Partner C | Wyjaśnić z partnerem źródło carryover i czy się powtórzy. Sprawdzić, które promocje przyciągają bonus hunterów</t>
  </si>
  <si>
    <t>Partner D | Utrzymać kampanię i pilnować, czy spadek NGR/FTD się nie pogłębia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</si>
</sst>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(0.0%\);\-"/>
  </numFmts>
  <fonts count="10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b/>
      <sz val="11"/>
      <color rgb="FF2F5496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2" borderId="0" xfId="0" applyFont="1" applyFill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0" borderId="1" xfId="0" applyFont="1" applyBorder="1"/>
    <xf numFmtId="164" fontId="3" fillId="0" borderId="1" xfId="0" applyNumberFormat="1" applyFont="1" applyBorder="1"/>
    <xf numFmtId="164" fontId="5" fillId="0" borderId="1" xfId="0" applyNumberFormat="1" applyFont="1" applyBorder="1"/>
    <xf numFmtId="164" fontId="8" fillId="0" borderId="1" xfId="0" applyNumberFormat="1" applyFont="1" applyBorder="1"/>
    <xf numFmtId="0" fontId="3" fillId="0" borderId="1" xfId="0" applyFont="1" applyBorder="1"/>
    <xf numFmtId="0" fontId="9" fillId="0" borderId="1" xfId="0" applyFont="1" applyBorder="1"/>
    <xf numFmtId="165" fontId="3" fillId="0" borderId="1" xfId="0" applyNumberFormat="1" applyFont="1" applyBorder="1"/>
    <xf numFmtId="165" fontId="8" fillId="0" borderId="1" xfId="0" applyNumberFormat="1" applyFont="1" applyBorder="1"/>
    <xf numFmtId="0" fontId="3" fillId="0" borderId="1" xfId="0" applyFont="1" applyBorder="1" applyAlignment="1">
      <alignment vertical="top" wrapText="1"/>
    </xf>
    <xf numFmtId="0" fontId="8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Odchylenie prowizji wg czynnika i partnera (zł)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Podsumowanie!F3</c:f>
              <c:strCache>
                <c:ptCount val="1"/>
                <c:pt idx="0">
                  <c:v>Efekt ruchu (zł)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Podsumowanie!$A$4:$A$7</c:f>
              <c:strCache>
                <c:ptCount val="4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  <c:pt idx="3">
                  <c:v>Partner D</c:v>
                </c:pt>
              </c:strCache>
            </c:strRef>
          </c:cat>
          <c:val>
            <c:numRef>
              <c:f>Podsumowanie!$F$4:$F$7</c:f>
              <c:numCache>
                <c:formatCode>#,##0;\(#,##0\);\-</c:formatCode>
                <c:ptCount val="4"/>
                <c:pt idx="0">
                  <c:v>-90</c:v>
                </c:pt>
                <c:pt idx="1">
                  <c:v>-4095</c:v>
                </c:pt>
                <c:pt idx="2">
                  <c:v>246.40000000000003</c:v>
                </c:pt>
                <c:pt idx="3">
                  <c:v>2025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2-4165-A58F-6FC41DE0180F}"/>
            </c:ext>
          </c:extLst>
        </c:ser>
        <c:ser>
          <c:idx val="1"/>
          <c:order val="1"/>
          <c:tx>
            <c:strRef>
              <c:f>Podsumowanie!G3</c:f>
              <c:strCache>
                <c:ptCount val="1"/>
                <c:pt idx="0">
                  <c:v>Efekt jakości (zł)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Podsumowanie!$A$4:$A$7</c:f>
              <c:strCache>
                <c:ptCount val="4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  <c:pt idx="3">
                  <c:v>Partner D</c:v>
                </c:pt>
              </c:strCache>
            </c:strRef>
          </c:cat>
          <c:val>
            <c:numRef>
              <c:f>Podsumowanie!$G$4:$G$7</c:f>
              <c:numCache>
                <c:formatCode>#,##0;\(#,##0\);\-</c:formatCode>
                <c:ptCount val="4"/>
                <c:pt idx="0">
                  <c:v>1.7999999999999972</c:v>
                </c:pt>
                <c:pt idx="1">
                  <c:v>728</c:v>
                </c:pt>
                <c:pt idx="2">
                  <c:v>-821.80000000000007</c:v>
                </c:pt>
                <c:pt idx="3">
                  <c:v>-330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2-4165-A58F-6FC41DE0180F}"/>
            </c:ext>
          </c:extLst>
        </c:ser>
        <c:ser>
          <c:idx val="2"/>
          <c:order val="2"/>
          <c:tx>
            <c:strRef>
              <c:f>Podsumowanie!H3</c:f>
              <c:strCache>
                <c:ptCount val="1"/>
                <c:pt idx="0">
                  <c:v>Efekt stawki (zł)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Podsumowanie!$A$4:$A$7</c:f>
              <c:strCache>
                <c:ptCount val="4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  <c:pt idx="3">
                  <c:v>Partner D</c:v>
                </c:pt>
              </c:strCache>
            </c:strRef>
          </c:cat>
          <c:val>
            <c:numRef>
              <c:f>Podsumowanie!$H$4:$H$7</c:f>
              <c:numCache>
                <c:formatCode>#,##0;\(#,##0\);\-</c:formatCode>
                <c:ptCount val="4"/>
                <c:pt idx="0">
                  <c:v>-1012.4999999999998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2-4165-A58F-6FC41DE0180F}"/>
            </c:ext>
          </c:extLst>
        </c:ser>
        <c:ser>
          <c:idx val="3"/>
          <c:order val="3"/>
          <c:tx>
            <c:strRef>
              <c:f>Podsumowanie!I3</c:f>
              <c:strCache>
                <c:ptCount val="1"/>
                <c:pt idx="0">
                  <c:v>Efekt jednorazowy (zł)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Podsumowanie!$A$4:$A$7</c:f>
              <c:strCache>
                <c:ptCount val="4"/>
                <c:pt idx="0">
                  <c:v>Partner A</c:v>
                </c:pt>
                <c:pt idx="1">
                  <c:v>Partner B</c:v>
                </c:pt>
                <c:pt idx="2">
                  <c:v>Partner C</c:v>
                </c:pt>
                <c:pt idx="3">
                  <c:v>Partner D</c:v>
                </c:pt>
              </c:strCache>
            </c:strRef>
          </c:cat>
          <c:val>
            <c:numRef>
              <c:f>Podsumowanie!$I$4:$I$7</c:f>
              <c:numCache>
                <c:formatCode>#,##0;\(#,##0\);\-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-3500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82-4165-A58F-6FC41DE01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997401"/>
        <c:axId val="85847915"/>
      </c:barChart>
      <c:catAx>
        <c:axId val="57997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847915"/>
        <c:crosses val="autoZero"/>
        <c:auto val="1"/>
        <c:lblAlgn val="ctr"/>
        <c:lblOffset val="100"/>
        <c:noMultiLvlLbl val="0"/>
      </c:catAx>
      <c:valAx>
        <c:axId val="858479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zł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997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160560</xdr:rowOff>
    </xdr:from>
    <xdr:to>
      <xdr:col>3</xdr:col>
      <xdr:colOff>840960</xdr:colOff>
      <xdr:row>30</xdr:row>
      <xdr:rowOff>161640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3"/>
  <sheetViews>
    <sheetView showGridLines="0" tabSelected="1" zoomScaleNormal="100" workbookViewId="0">
      <selection activeCell="B1" sqref="B1"/>
    </sheetView>
  </sheetViews>
  <sheetFormatPr defaultColWidth="8.7109375" defaultRowHeight="15"/>
  <cols>
    <col min="1" max="1" width="3" customWidth="1"/>
    <col min="2" max="2" width="120" customWidth="1"/>
  </cols>
  <sheetData>
    <row r="1" spans="2:2" ht="17.45">
      <c r="B1" s="1" t="s">
        <v>0</v>
      </c>
    </row>
    <row r="3" spans="2:2">
      <c r="B3" s="2" t="s">
        <v>1</v>
      </c>
    </row>
    <row r="4" spans="2:2" ht="30" customHeight="1">
      <c r="B4" s="3" t="s">
        <v>2</v>
      </c>
    </row>
    <row r="6" spans="2:2">
      <c r="B6" s="2" t="s">
        <v>3</v>
      </c>
    </row>
    <row r="7" spans="2:2">
      <c r="B7" s="4" t="s">
        <v>4</v>
      </c>
    </row>
    <row r="8" spans="2:2">
      <c r="B8" s="5" t="s">
        <v>5</v>
      </c>
    </row>
    <row r="9" spans="2:2">
      <c r="B9" s="6" t="s">
        <v>6</v>
      </c>
    </row>
    <row r="10" spans="2:2">
      <c r="B10" s="7" t="s">
        <v>7</v>
      </c>
    </row>
    <row r="11" spans="2:2">
      <c r="B11" s="8"/>
    </row>
    <row r="13" spans="2:2">
      <c r="B13" s="2" t="s">
        <v>8</v>
      </c>
    </row>
    <row r="14" spans="2:2" ht="15" customHeight="1">
      <c r="B14" s="3" t="s">
        <v>9</v>
      </c>
    </row>
    <row r="15" spans="2:2" ht="15" customHeight="1">
      <c r="B15" s="3" t="s">
        <v>10</v>
      </c>
    </row>
    <row r="16" spans="2:2" ht="15" customHeight="1">
      <c r="B16" s="3" t="s">
        <v>11</v>
      </c>
    </row>
    <row r="17" spans="2:2" ht="15" customHeight="1">
      <c r="B17" s="3" t="s">
        <v>12</v>
      </c>
    </row>
    <row r="19" spans="2:2">
      <c r="B19" s="2"/>
    </row>
    <row r="20" spans="2:2" ht="15" customHeight="1">
      <c r="B20" s="3"/>
    </row>
    <row r="21" spans="2:2" ht="30" customHeight="1">
      <c r="B21" s="3"/>
    </row>
    <row r="22" spans="2:2" ht="30" customHeight="1">
      <c r="B22" s="3"/>
    </row>
    <row r="23" spans="2:2" ht="15" customHeight="1">
      <c r="B23" s="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109375" defaultRowHeight="15"/>
  <cols>
    <col min="1" max="2" width="12" customWidth="1"/>
    <col min="3" max="3" width="10" customWidth="1"/>
    <col min="4" max="4" width="14" customWidth="1"/>
    <col min="5" max="5" width="10" customWidth="1"/>
    <col min="6" max="6" width="14" customWidth="1"/>
    <col min="7" max="7" width="18" customWidth="1"/>
    <col min="8" max="8" width="14" customWidth="1"/>
    <col min="9" max="9" width="18" customWidth="1"/>
    <col min="10" max="10" width="60" customWidth="1"/>
  </cols>
  <sheetData>
    <row r="1" spans="1:10" ht="17.45">
      <c r="A1" s="1" t="s">
        <v>13</v>
      </c>
    </row>
    <row r="2" spans="1:10">
      <c r="A2" s="8" t="s">
        <v>14</v>
      </c>
    </row>
    <row r="4" spans="1:10" ht="45" customHeight="1">
      <c r="A4" s="9" t="s">
        <v>15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</row>
    <row r="5" spans="1:10">
      <c r="A5" s="10" t="s">
        <v>25</v>
      </c>
      <c r="B5" s="10" t="s">
        <v>26</v>
      </c>
      <c r="C5" s="11">
        <v>120</v>
      </c>
      <c r="D5" s="12">
        <v>150</v>
      </c>
      <c r="E5" s="13">
        <v>0.3</v>
      </c>
      <c r="F5" s="11">
        <v>125</v>
      </c>
      <c r="G5" s="12">
        <v>148</v>
      </c>
      <c r="H5" s="13">
        <v>0.3</v>
      </c>
      <c r="I5" s="12">
        <v>0</v>
      </c>
      <c r="J5" s="10" t="s">
        <v>27</v>
      </c>
    </row>
    <row r="6" spans="1:10">
      <c r="A6" s="10" t="s">
        <v>25</v>
      </c>
      <c r="B6" s="10" t="s">
        <v>28</v>
      </c>
      <c r="C6" s="11">
        <v>130</v>
      </c>
      <c r="D6" s="12">
        <v>150</v>
      </c>
      <c r="E6" s="13">
        <v>0.3</v>
      </c>
      <c r="F6" s="11">
        <v>128</v>
      </c>
      <c r="G6" s="12">
        <v>152</v>
      </c>
      <c r="H6" s="13">
        <v>0.3</v>
      </c>
      <c r="I6" s="12">
        <v>0</v>
      </c>
      <c r="J6" s="10" t="s">
        <v>27</v>
      </c>
    </row>
    <row r="7" spans="1:10">
      <c r="A7" s="10" t="s">
        <v>25</v>
      </c>
      <c r="B7" s="10" t="s">
        <v>29</v>
      </c>
      <c r="C7" s="11">
        <v>140</v>
      </c>
      <c r="D7" s="12">
        <v>150</v>
      </c>
      <c r="E7" s="13">
        <v>0.3</v>
      </c>
      <c r="F7" s="11">
        <v>135</v>
      </c>
      <c r="G7" s="12">
        <v>150</v>
      </c>
      <c r="H7" s="13">
        <v>0.25</v>
      </c>
      <c r="I7" s="12">
        <v>0</v>
      </c>
      <c r="J7" s="10" t="s">
        <v>30</v>
      </c>
    </row>
    <row r="8" spans="1:10">
      <c r="A8" s="10" t="s">
        <v>31</v>
      </c>
      <c r="B8" s="10" t="s">
        <v>26</v>
      </c>
      <c r="C8" s="11">
        <v>200</v>
      </c>
      <c r="D8" s="12">
        <v>90</v>
      </c>
      <c r="E8" s="13">
        <v>0.35</v>
      </c>
      <c r="F8" s="11">
        <v>190</v>
      </c>
      <c r="G8" s="12">
        <v>92</v>
      </c>
      <c r="H8" s="13">
        <v>0.35</v>
      </c>
      <c r="I8" s="12">
        <v>0</v>
      </c>
      <c r="J8" s="10" t="s">
        <v>32</v>
      </c>
    </row>
    <row r="9" spans="1:10">
      <c r="A9" s="10" t="s">
        <v>31</v>
      </c>
      <c r="B9" s="10" t="s">
        <v>28</v>
      </c>
      <c r="C9" s="11">
        <v>210</v>
      </c>
      <c r="D9" s="12">
        <v>90</v>
      </c>
      <c r="E9" s="13">
        <v>0.35</v>
      </c>
      <c r="F9" s="11">
        <v>160</v>
      </c>
      <c r="G9" s="12">
        <v>95</v>
      </c>
      <c r="H9" s="13">
        <v>0.35</v>
      </c>
      <c r="I9" s="12">
        <v>0</v>
      </c>
      <c r="J9" s="10" t="s">
        <v>33</v>
      </c>
    </row>
    <row r="10" spans="1:10">
      <c r="A10" s="10" t="s">
        <v>31</v>
      </c>
      <c r="B10" s="10" t="s">
        <v>29</v>
      </c>
      <c r="C10" s="11">
        <v>220</v>
      </c>
      <c r="D10" s="12">
        <v>90</v>
      </c>
      <c r="E10" s="13">
        <v>0.35</v>
      </c>
      <c r="F10" s="11">
        <v>150</v>
      </c>
      <c r="G10" s="12">
        <v>96</v>
      </c>
      <c r="H10" s="13">
        <v>0.35</v>
      </c>
      <c r="I10" s="12">
        <v>0</v>
      </c>
      <c r="J10" s="10" t="s">
        <v>34</v>
      </c>
    </row>
    <row r="11" spans="1:10">
      <c r="A11" s="10" t="s">
        <v>35</v>
      </c>
      <c r="B11" s="10" t="s">
        <v>26</v>
      </c>
      <c r="C11" s="11">
        <v>90</v>
      </c>
      <c r="D11" s="12">
        <v>220</v>
      </c>
      <c r="E11" s="13">
        <v>0.28000000000000003</v>
      </c>
      <c r="F11" s="11">
        <v>92</v>
      </c>
      <c r="G11" s="12">
        <v>215</v>
      </c>
      <c r="H11" s="13">
        <v>0.28000000000000003</v>
      </c>
      <c r="I11" s="12">
        <v>0</v>
      </c>
      <c r="J11" s="10" t="s">
        <v>27</v>
      </c>
    </row>
    <row r="12" spans="1:10">
      <c r="A12" s="10" t="s">
        <v>35</v>
      </c>
      <c r="B12" s="10" t="s">
        <v>28</v>
      </c>
      <c r="C12" s="11">
        <v>95</v>
      </c>
      <c r="D12" s="12">
        <v>220</v>
      </c>
      <c r="E12" s="13">
        <v>0.28000000000000003</v>
      </c>
      <c r="F12" s="11">
        <v>96</v>
      </c>
      <c r="G12" s="12">
        <v>210</v>
      </c>
      <c r="H12" s="13">
        <v>0.28000000000000003</v>
      </c>
      <c r="I12" s="12">
        <v>0</v>
      </c>
      <c r="J12" s="10" t="s">
        <v>36</v>
      </c>
    </row>
    <row r="13" spans="1:10">
      <c r="A13" s="10" t="s">
        <v>35</v>
      </c>
      <c r="B13" s="10" t="s">
        <v>29</v>
      </c>
      <c r="C13" s="11">
        <v>100</v>
      </c>
      <c r="D13" s="12">
        <v>220</v>
      </c>
      <c r="E13" s="13">
        <v>0.28000000000000003</v>
      </c>
      <c r="F13" s="11">
        <v>101</v>
      </c>
      <c r="G13" s="12">
        <v>205</v>
      </c>
      <c r="H13" s="13">
        <v>0.28000000000000003</v>
      </c>
      <c r="I13" s="12">
        <v>-3500</v>
      </c>
      <c r="J13" s="10" t="s">
        <v>37</v>
      </c>
    </row>
    <row r="14" spans="1:10">
      <c r="A14" s="10" t="s">
        <v>38</v>
      </c>
      <c r="B14" s="10" t="s">
        <v>26</v>
      </c>
      <c r="C14" s="11">
        <v>60</v>
      </c>
      <c r="D14" s="12">
        <v>180</v>
      </c>
      <c r="E14" s="13">
        <v>0.25</v>
      </c>
      <c r="F14" s="11">
        <v>75</v>
      </c>
      <c r="G14" s="12">
        <v>170</v>
      </c>
      <c r="H14" s="13">
        <v>0.25</v>
      </c>
      <c r="I14" s="12">
        <v>0</v>
      </c>
      <c r="J14" s="10" t="s">
        <v>39</v>
      </c>
    </row>
    <row r="15" spans="1:10">
      <c r="A15" s="10" t="s">
        <v>38</v>
      </c>
      <c r="B15" s="10" t="s">
        <v>28</v>
      </c>
      <c r="C15" s="11">
        <v>65</v>
      </c>
      <c r="D15" s="12">
        <v>180</v>
      </c>
      <c r="E15" s="13">
        <v>0.25</v>
      </c>
      <c r="F15" s="11">
        <v>80</v>
      </c>
      <c r="G15" s="12">
        <v>175</v>
      </c>
      <c r="H15" s="13">
        <v>0.25</v>
      </c>
      <c r="I15" s="12">
        <v>0</v>
      </c>
      <c r="J15" s="10" t="s">
        <v>40</v>
      </c>
    </row>
    <row r="16" spans="1:10">
      <c r="A16" s="10" t="s">
        <v>38</v>
      </c>
      <c r="B16" s="10" t="s">
        <v>29</v>
      </c>
      <c r="C16" s="11">
        <v>70</v>
      </c>
      <c r="D16" s="12">
        <v>180</v>
      </c>
      <c r="E16" s="13">
        <v>0.25</v>
      </c>
      <c r="F16" s="11">
        <v>85</v>
      </c>
      <c r="G16" s="12">
        <v>178</v>
      </c>
      <c r="H16" s="13">
        <v>0.25</v>
      </c>
      <c r="I16" s="12">
        <v>0</v>
      </c>
      <c r="J16" s="10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7"/>
  <sheetViews>
    <sheetView showGridLines="0" zoomScaleNormal="100" workbookViewId="0">
      <pane xSplit="2" ySplit="4" topLeftCell="C5" activePane="bottomRight" state="frozen"/>
      <selection pane="bottomRight"/>
      <selection pane="bottomLeft" activeCell="A5" sqref="A5"/>
      <selection pane="topRight" activeCell="C1" sqref="C1"/>
    </sheetView>
  </sheetViews>
  <sheetFormatPr defaultColWidth="8.7109375" defaultRowHeight="15"/>
  <cols>
    <col min="1" max="2" width="12" customWidth="1"/>
    <col min="3" max="3" width="14" customWidth="1"/>
    <col min="4" max="4" width="20" customWidth="1"/>
    <col min="5" max="5" width="16" customWidth="1"/>
    <col min="6" max="6" width="18" customWidth="1"/>
    <col min="7" max="7" width="16" customWidth="1"/>
    <col min="8" max="10" width="14" customWidth="1"/>
    <col min="11" max="12" width="16" customWidth="1"/>
    <col min="13" max="13" width="18" customWidth="1"/>
  </cols>
  <sheetData>
    <row r="1" spans="1:13" ht="17.45">
      <c r="A1" s="1" t="s">
        <v>41</v>
      </c>
    </row>
    <row r="2" spans="1:13">
      <c r="A2" s="8" t="s">
        <v>42</v>
      </c>
    </row>
    <row r="4" spans="1:13" ht="57.75" customHeight="1">
      <c r="A4" s="9" t="s">
        <v>15</v>
      </c>
      <c r="B4" s="9" t="s">
        <v>16</v>
      </c>
      <c r="C4" s="9" t="s">
        <v>43</v>
      </c>
      <c r="D4" s="9" t="s">
        <v>44</v>
      </c>
      <c r="E4" s="9" t="s">
        <v>23</v>
      </c>
      <c r="F4" s="9" t="s">
        <v>45</v>
      </c>
      <c r="G4" s="9" t="s">
        <v>46</v>
      </c>
      <c r="H4" s="9" t="s">
        <v>47</v>
      </c>
      <c r="I4" s="9" t="s">
        <v>48</v>
      </c>
      <c r="J4" s="9" t="s">
        <v>49</v>
      </c>
      <c r="K4" s="9" t="s">
        <v>50</v>
      </c>
      <c r="L4" s="9" t="s">
        <v>51</v>
      </c>
      <c r="M4" s="9" t="s">
        <v>52</v>
      </c>
    </row>
    <row r="5" spans="1:13">
      <c r="A5" s="14" t="str">
        <f>Dane!A5</f>
        <v>Partner A</v>
      </c>
      <c r="B5" s="14" t="str">
        <f>Dane!B5</f>
        <v>Lipiec</v>
      </c>
      <c r="C5" s="15">
        <f>Dane!C5*Dane!D5*Dane!E5</f>
        <v>5400</v>
      </c>
      <c r="D5" s="15">
        <f>Dane!F5*Dane!G5*Dane!H5</f>
        <v>5550</v>
      </c>
      <c r="E5" s="16">
        <f>Dane!I5</f>
        <v>0</v>
      </c>
      <c r="F5" s="15">
        <f>D5+E5</f>
        <v>5550</v>
      </c>
      <c r="G5" s="17">
        <f>F5-C5</f>
        <v>150</v>
      </c>
      <c r="H5" s="15">
        <f>(Dane!F5-Dane!C5)*Dane!D5*Dane!E5</f>
        <v>225</v>
      </c>
      <c r="I5" s="15">
        <f>Dane!F5*(Dane!G5-Dane!D5)*Dane!E5</f>
        <v>-75</v>
      </c>
      <c r="J5" s="15">
        <f>Dane!F5*Dane!G5*(Dane!H5-Dane!E5)</f>
        <v>0</v>
      </c>
      <c r="K5" s="15">
        <f>E5</f>
        <v>0</v>
      </c>
      <c r="L5" s="15">
        <f>ROUND(G5-(H5+I5+J5+K5),2)</f>
        <v>0</v>
      </c>
      <c r="M5" s="18" t="str">
        <f>IF(G5=0,"brak odchylenia",IF(AND(ABS(H5)&gt;=ABS(I5),ABS(H5)&gt;=ABS(J5),ABS(H5)&gt;=ABS(K5)),"Ruch",IF(AND(ABS(I5)&gt;=ABS(J5),ABS(I5)&gt;=ABS(K5)),"Jakość",IF(ABS(J5)&gt;=ABS(K5),"Stawka","Jednorazowe"))))</f>
        <v>Ruch</v>
      </c>
    </row>
    <row r="6" spans="1:13">
      <c r="A6" s="14" t="str">
        <f>Dane!A6</f>
        <v>Partner A</v>
      </c>
      <c r="B6" s="14" t="str">
        <f>Dane!B6</f>
        <v>Sierpień</v>
      </c>
      <c r="C6" s="15">
        <f>Dane!C6*Dane!D6*Dane!E6</f>
        <v>5850</v>
      </c>
      <c r="D6" s="15">
        <f>Dane!F6*Dane!G6*Dane!H6</f>
        <v>5836.8</v>
      </c>
      <c r="E6" s="16">
        <f>Dane!I6</f>
        <v>0</v>
      </c>
      <c r="F6" s="15">
        <f>D6+E6</f>
        <v>5836.8</v>
      </c>
      <c r="G6" s="17">
        <f>F6-C6</f>
        <v>-13.199999999999818</v>
      </c>
      <c r="H6" s="15">
        <f>(Dane!F6-Dane!C6)*Dane!D6*Dane!E6</f>
        <v>-90</v>
      </c>
      <c r="I6" s="15">
        <f>Dane!F6*(Dane!G6-Dane!D6)*Dane!E6</f>
        <v>76.8</v>
      </c>
      <c r="J6" s="15">
        <f>Dane!F6*Dane!G6*(Dane!H6-Dane!E6)</f>
        <v>0</v>
      </c>
      <c r="K6" s="15">
        <f>E6</f>
        <v>0</v>
      </c>
      <c r="L6" s="15">
        <f>ROUND(G6-(H6+I6+J6+K6),2)</f>
        <v>0</v>
      </c>
      <c r="M6" s="18" t="str">
        <f>IF(G6=0,"brak odchylenia",IF(AND(ABS(H6)&gt;=ABS(I6),ABS(H6)&gt;=ABS(J6),ABS(H6)&gt;=ABS(K6)),"Ruch",IF(AND(ABS(I6)&gt;=ABS(J6),ABS(I6)&gt;=ABS(K6)),"Jakość",IF(ABS(J6)&gt;=ABS(K6),"Stawka","Jednorazowe"))))</f>
        <v>Ruch</v>
      </c>
    </row>
    <row r="7" spans="1:13">
      <c r="A7" s="14" t="str">
        <f>Dane!A7</f>
        <v>Partner A</v>
      </c>
      <c r="B7" s="14" t="str">
        <f>Dane!B7</f>
        <v>Wrzesień</v>
      </c>
      <c r="C7" s="15">
        <f>Dane!C7*Dane!D7*Dane!E7</f>
        <v>6300</v>
      </c>
      <c r="D7" s="15">
        <f>Dane!F7*Dane!G7*Dane!H7</f>
        <v>5062.5</v>
      </c>
      <c r="E7" s="16">
        <f>Dane!I7</f>
        <v>0</v>
      </c>
      <c r="F7" s="15">
        <f>D7+E7</f>
        <v>5062.5</v>
      </c>
      <c r="G7" s="17">
        <f>F7-C7</f>
        <v>-1237.5</v>
      </c>
      <c r="H7" s="15">
        <f>(Dane!F7-Dane!C7)*Dane!D7*Dane!E7</f>
        <v>-225</v>
      </c>
      <c r="I7" s="15">
        <f>Dane!F7*(Dane!G7-Dane!D7)*Dane!E7</f>
        <v>0</v>
      </c>
      <c r="J7" s="15">
        <f>Dane!F7*Dane!G7*(Dane!H7-Dane!E7)</f>
        <v>-1012.4999999999998</v>
      </c>
      <c r="K7" s="15">
        <f>E7</f>
        <v>0</v>
      </c>
      <c r="L7" s="15">
        <f>ROUND(G7-(H7+I7+J7+K7),2)</f>
        <v>0</v>
      </c>
      <c r="M7" s="18" t="str">
        <f>IF(G7=0,"brak odchylenia",IF(AND(ABS(H7)&gt;=ABS(I7),ABS(H7)&gt;=ABS(J7),ABS(H7)&gt;=ABS(K7)),"Ruch",IF(AND(ABS(I7)&gt;=ABS(J7),ABS(I7)&gt;=ABS(K7)),"Jakość",IF(ABS(J7)&gt;=ABS(K7),"Stawka","Jednorazowe"))))</f>
        <v>Stawka</v>
      </c>
    </row>
    <row r="8" spans="1:13">
      <c r="A8" s="14" t="str">
        <f>Dane!A8</f>
        <v>Partner B</v>
      </c>
      <c r="B8" s="14" t="str">
        <f>Dane!B8</f>
        <v>Lipiec</v>
      </c>
      <c r="C8" s="15">
        <f>Dane!C8*Dane!D8*Dane!E8</f>
        <v>6300</v>
      </c>
      <c r="D8" s="15">
        <f>Dane!F8*Dane!G8*Dane!H8</f>
        <v>6118</v>
      </c>
      <c r="E8" s="16">
        <f>Dane!I8</f>
        <v>0</v>
      </c>
      <c r="F8" s="15">
        <f>D8+E8</f>
        <v>6118</v>
      </c>
      <c r="G8" s="17">
        <f>F8-C8</f>
        <v>-182</v>
      </c>
      <c r="H8" s="15">
        <f>(Dane!F8-Dane!C8)*Dane!D8*Dane!E8</f>
        <v>-315</v>
      </c>
      <c r="I8" s="15">
        <f>Dane!F8*(Dane!G8-Dane!D8)*Dane!E8</f>
        <v>133</v>
      </c>
      <c r="J8" s="15">
        <f>Dane!F8*Dane!G8*(Dane!H8-Dane!E8)</f>
        <v>0</v>
      </c>
      <c r="K8" s="15">
        <f>E8</f>
        <v>0</v>
      </c>
      <c r="L8" s="15">
        <f>ROUND(G8-(H8+I8+J8+K8),2)</f>
        <v>0</v>
      </c>
      <c r="M8" s="18" t="str">
        <f>IF(G8=0,"brak odchylenia",IF(AND(ABS(H8)&gt;=ABS(I8),ABS(H8)&gt;=ABS(J8),ABS(H8)&gt;=ABS(K8)),"Ruch",IF(AND(ABS(I8)&gt;=ABS(J8),ABS(I8)&gt;=ABS(K8)),"Jakość",IF(ABS(J8)&gt;=ABS(K8),"Stawka","Jednorazowe"))))</f>
        <v>Ruch</v>
      </c>
    </row>
    <row r="9" spans="1:13">
      <c r="A9" s="14" t="str">
        <f>Dane!A9</f>
        <v>Partner B</v>
      </c>
      <c r="B9" s="14" t="str">
        <f>Dane!B9</f>
        <v>Sierpień</v>
      </c>
      <c r="C9" s="15">
        <f>Dane!C9*Dane!D9*Dane!E9</f>
        <v>6615</v>
      </c>
      <c r="D9" s="15">
        <f>Dane!F9*Dane!G9*Dane!H9</f>
        <v>5320</v>
      </c>
      <c r="E9" s="16">
        <f>Dane!I9</f>
        <v>0</v>
      </c>
      <c r="F9" s="15">
        <f>D9+E9</f>
        <v>5320</v>
      </c>
      <c r="G9" s="17">
        <f>F9-C9</f>
        <v>-1295</v>
      </c>
      <c r="H9" s="15">
        <f>(Dane!F9-Dane!C9)*Dane!D9*Dane!E9</f>
        <v>-1575</v>
      </c>
      <c r="I9" s="15">
        <f>Dane!F9*(Dane!G9-Dane!D9)*Dane!E9</f>
        <v>280</v>
      </c>
      <c r="J9" s="15">
        <f>Dane!F9*Dane!G9*(Dane!H9-Dane!E9)</f>
        <v>0</v>
      </c>
      <c r="K9" s="15">
        <f>E9</f>
        <v>0</v>
      </c>
      <c r="L9" s="15">
        <f>ROUND(G9-(H9+I9+J9+K9),2)</f>
        <v>0</v>
      </c>
      <c r="M9" s="18" t="str">
        <f>IF(G9=0,"brak odchylenia",IF(AND(ABS(H9)&gt;=ABS(I9),ABS(H9)&gt;=ABS(J9),ABS(H9)&gt;=ABS(K9)),"Ruch",IF(AND(ABS(I9)&gt;=ABS(J9),ABS(I9)&gt;=ABS(K9)),"Jakość",IF(ABS(J9)&gt;=ABS(K9),"Stawka","Jednorazowe"))))</f>
        <v>Ruch</v>
      </c>
    </row>
    <row r="10" spans="1:13">
      <c r="A10" s="14" t="str">
        <f>Dane!A10</f>
        <v>Partner B</v>
      </c>
      <c r="B10" s="14" t="str">
        <f>Dane!B10</f>
        <v>Wrzesień</v>
      </c>
      <c r="C10" s="15">
        <f>Dane!C10*Dane!D10*Dane!E10</f>
        <v>6930</v>
      </c>
      <c r="D10" s="15">
        <f>Dane!F10*Dane!G10*Dane!H10</f>
        <v>5040</v>
      </c>
      <c r="E10" s="16">
        <f>Dane!I10</f>
        <v>0</v>
      </c>
      <c r="F10" s="15">
        <f>D10+E10</f>
        <v>5040</v>
      </c>
      <c r="G10" s="17">
        <f>F10-C10</f>
        <v>-1890</v>
      </c>
      <c r="H10" s="15">
        <f>(Dane!F10-Dane!C10)*Dane!D10*Dane!E10</f>
        <v>-2205</v>
      </c>
      <c r="I10" s="15">
        <f>Dane!F10*(Dane!G10-Dane!D10)*Dane!E10</f>
        <v>315</v>
      </c>
      <c r="J10" s="15">
        <f>Dane!F10*Dane!G10*(Dane!H10-Dane!E10)</f>
        <v>0</v>
      </c>
      <c r="K10" s="15">
        <f>E10</f>
        <v>0</v>
      </c>
      <c r="L10" s="15">
        <f>ROUND(G10-(H10+I10+J10+K10),2)</f>
        <v>0</v>
      </c>
      <c r="M10" s="18" t="str">
        <f>IF(G10=0,"brak odchylenia",IF(AND(ABS(H10)&gt;=ABS(I10),ABS(H10)&gt;=ABS(J10),ABS(H10)&gt;=ABS(K10)),"Ruch",IF(AND(ABS(I10)&gt;=ABS(J10),ABS(I10)&gt;=ABS(K10)),"Jakość",IF(ABS(J10)&gt;=ABS(K10),"Stawka","Jednorazowe"))))</f>
        <v>Ruch</v>
      </c>
    </row>
    <row r="11" spans="1:13">
      <c r="A11" s="14" t="str">
        <f>Dane!A11</f>
        <v>Partner C</v>
      </c>
      <c r="B11" s="14" t="str">
        <f>Dane!B11</f>
        <v>Lipiec</v>
      </c>
      <c r="C11" s="15">
        <f>Dane!C11*Dane!D11*Dane!E11</f>
        <v>5544.0000000000009</v>
      </c>
      <c r="D11" s="15">
        <f>Dane!F11*Dane!G11*Dane!H11</f>
        <v>5538.4000000000005</v>
      </c>
      <c r="E11" s="16">
        <f>Dane!I11</f>
        <v>0</v>
      </c>
      <c r="F11" s="15">
        <f>D11+E11</f>
        <v>5538.4000000000005</v>
      </c>
      <c r="G11" s="17">
        <f>F11-C11</f>
        <v>-5.6000000000003638</v>
      </c>
      <c r="H11" s="15">
        <f>(Dane!F11-Dane!C11)*Dane!D11*Dane!E11</f>
        <v>123.20000000000002</v>
      </c>
      <c r="I11" s="15">
        <f>Dane!F11*(Dane!G11-Dane!D11)*Dane!E11</f>
        <v>-128.80000000000001</v>
      </c>
      <c r="J11" s="15">
        <f>Dane!F11*Dane!G11*(Dane!H11-Dane!E11)</f>
        <v>0</v>
      </c>
      <c r="K11" s="15">
        <f>E11</f>
        <v>0</v>
      </c>
      <c r="L11" s="15">
        <f>ROUND(G11-(H11+I11+J11+K11),2)</f>
        <v>0</v>
      </c>
      <c r="M11" s="18" t="str">
        <f>IF(G11=0,"brak odchylenia",IF(AND(ABS(H11)&gt;=ABS(I11),ABS(H11)&gt;=ABS(J11),ABS(H11)&gt;=ABS(K11)),"Ruch",IF(AND(ABS(I11)&gt;=ABS(J11),ABS(I11)&gt;=ABS(K11)),"Jakość",IF(ABS(J11)&gt;=ABS(K11),"Stawka","Jednorazowe"))))</f>
        <v>Jakość</v>
      </c>
    </row>
    <row r="12" spans="1:13">
      <c r="A12" s="14" t="str">
        <f>Dane!A12</f>
        <v>Partner C</v>
      </c>
      <c r="B12" s="14" t="str">
        <f>Dane!B12</f>
        <v>Sierpień</v>
      </c>
      <c r="C12" s="15">
        <f>Dane!C12*Dane!D12*Dane!E12</f>
        <v>5852.0000000000009</v>
      </c>
      <c r="D12" s="15">
        <f>Dane!F12*Dane!G12*Dane!H12</f>
        <v>5644.8</v>
      </c>
      <c r="E12" s="16">
        <f>Dane!I12</f>
        <v>0</v>
      </c>
      <c r="F12" s="15">
        <f>D12+E12</f>
        <v>5644.8</v>
      </c>
      <c r="G12" s="17">
        <f>F12-C12</f>
        <v>-207.20000000000073</v>
      </c>
      <c r="H12" s="15">
        <f>(Dane!F12-Dane!C12)*Dane!D12*Dane!E12</f>
        <v>61.600000000000009</v>
      </c>
      <c r="I12" s="15">
        <f>Dane!F12*(Dane!G12-Dane!D12)*Dane!E12</f>
        <v>-268.8</v>
      </c>
      <c r="J12" s="15">
        <f>Dane!F12*Dane!G12*(Dane!H12-Dane!E12)</f>
        <v>0</v>
      </c>
      <c r="K12" s="15">
        <f>E12</f>
        <v>0</v>
      </c>
      <c r="L12" s="15">
        <f>ROUND(G12-(H12+I12+J12+K12),2)</f>
        <v>0</v>
      </c>
      <c r="M12" s="18" t="str">
        <f>IF(G12=0,"brak odchylenia",IF(AND(ABS(H12)&gt;=ABS(I12),ABS(H12)&gt;=ABS(J12),ABS(H12)&gt;=ABS(K12)),"Ruch",IF(AND(ABS(I12)&gt;=ABS(J12),ABS(I12)&gt;=ABS(K12)),"Jakość",IF(ABS(J12)&gt;=ABS(K12),"Stawka","Jednorazowe"))))</f>
        <v>Jakość</v>
      </c>
    </row>
    <row r="13" spans="1:13">
      <c r="A13" s="14" t="str">
        <f>Dane!A13</f>
        <v>Partner C</v>
      </c>
      <c r="B13" s="14" t="str">
        <f>Dane!B13</f>
        <v>Wrzesień</v>
      </c>
      <c r="C13" s="15">
        <f>Dane!C13*Dane!D13*Dane!E13</f>
        <v>6160.0000000000009</v>
      </c>
      <c r="D13" s="15">
        <f>Dane!F13*Dane!G13*Dane!H13</f>
        <v>5797.4000000000005</v>
      </c>
      <c r="E13" s="16">
        <f>Dane!I13</f>
        <v>-3500</v>
      </c>
      <c r="F13" s="15">
        <f>D13+E13</f>
        <v>2297.4000000000005</v>
      </c>
      <c r="G13" s="17">
        <f>F13-C13</f>
        <v>-3862.6000000000004</v>
      </c>
      <c r="H13" s="15">
        <f>(Dane!F13-Dane!C13)*Dane!D13*Dane!E13</f>
        <v>61.600000000000009</v>
      </c>
      <c r="I13" s="15">
        <f>Dane!F13*(Dane!G13-Dane!D13)*Dane!E13</f>
        <v>-424.20000000000005</v>
      </c>
      <c r="J13" s="15">
        <f>Dane!F13*Dane!G13*(Dane!H13-Dane!E13)</f>
        <v>0</v>
      </c>
      <c r="K13" s="15">
        <f>E13</f>
        <v>-3500</v>
      </c>
      <c r="L13" s="15">
        <f>ROUND(G13-(H13+I13+J13+K13),2)</f>
        <v>0</v>
      </c>
      <c r="M13" s="18" t="str">
        <f>IF(G13=0,"brak odchylenia",IF(AND(ABS(H13)&gt;=ABS(I13),ABS(H13)&gt;=ABS(J13),ABS(H13)&gt;=ABS(K13)),"Ruch",IF(AND(ABS(I13)&gt;=ABS(J13),ABS(I13)&gt;=ABS(K13)),"Jakość",IF(ABS(J13)&gt;=ABS(K13),"Stawka","Jednorazowe"))))</f>
        <v>Jednorazowe</v>
      </c>
    </row>
    <row r="14" spans="1:13">
      <c r="A14" s="14" t="str">
        <f>Dane!A14</f>
        <v>Partner D</v>
      </c>
      <c r="B14" s="14" t="str">
        <f>Dane!B14</f>
        <v>Lipiec</v>
      </c>
      <c r="C14" s="15">
        <f>Dane!C14*Dane!D14*Dane!E14</f>
        <v>2700</v>
      </c>
      <c r="D14" s="15">
        <f>Dane!F14*Dane!G14*Dane!H14</f>
        <v>3187.5</v>
      </c>
      <c r="E14" s="16">
        <f>Dane!I14</f>
        <v>0</v>
      </c>
      <c r="F14" s="15">
        <f>D14+E14</f>
        <v>3187.5</v>
      </c>
      <c r="G14" s="17">
        <f>F14-C14</f>
        <v>487.5</v>
      </c>
      <c r="H14" s="15">
        <f>(Dane!F14-Dane!C14)*Dane!D14*Dane!E14</f>
        <v>675</v>
      </c>
      <c r="I14" s="15">
        <f>Dane!F14*(Dane!G14-Dane!D14)*Dane!E14</f>
        <v>-187.5</v>
      </c>
      <c r="J14" s="15">
        <f>Dane!F14*Dane!G14*(Dane!H14-Dane!E14)</f>
        <v>0</v>
      </c>
      <c r="K14" s="15">
        <f>E14</f>
        <v>0</v>
      </c>
      <c r="L14" s="15">
        <f>ROUND(G14-(H14+I14+J14+K14),2)</f>
        <v>0</v>
      </c>
      <c r="M14" s="18" t="str">
        <f>IF(G14=0,"brak odchylenia",IF(AND(ABS(H14)&gt;=ABS(I14),ABS(H14)&gt;=ABS(J14),ABS(H14)&gt;=ABS(K14)),"Ruch",IF(AND(ABS(I14)&gt;=ABS(J14),ABS(I14)&gt;=ABS(K14)),"Jakość",IF(ABS(J14)&gt;=ABS(K14),"Stawka","Jednorazowe"))))</f>
        <v>Ruch</v>
      </c>
    </row>
    <row r="15" spans="1:13">
      <c r="A15" s="14" t="str">
        <f>Dane!A15</f>
        <v>Partner D</v>
      </c>
      <c r="B15" s="14" t="str">
        <f>Dane!B15</f>
        <v>Sierpień</v>
      </c>
      <c r="C15" s="15">
        <f>Dane!C15*Dane!D15*Dane!E15</f>
        <v>2925</v>
      </c>
      <c r="D15" s="15">
        <f>Dane!F15*Dane!G15*Dane!H15</f>
        <v>3500</v>
      </c>
      <c r="E15" s="16">
        <f>Dane!I15</f>
        <v>0</v>
      </c>
      <c r="F15" s="15">
        <f>D15+E15</f>
        <v>3500</v>
      </c>
      <c r="G15" s="17">
        <f>F15-C15</f>
        <v>575</v>
      </c>
      <c r="H15" s="15">
        <f>(Dane!F15-Dane!C15)*Dane!D15*Dane!E15</f>
        <v>675</v>
      </c>
      <c r="I15" s="15">
        <f>Dane!F15*(Dane!G15-Dane!D15)*Dane!E15</f>
        <v>-100</v>
      </c>
      <c r="J15" s="15">
        <f>Dane!F15*Dane!G15*(Dane!H15-Dane!E15)</f>
        <v>0</v>
      </c>
      <c r="K15" s="15">
        <f>E15</f>
        <v>0</v>
      </c>
      <c r="L15" s="15">
        <f>ROUND(G15-(H15+I15+J15+K15),2)</f>
        <v>0</v>
      </c>
      <c r="M15" s="18" t="str">
        <f>IF(G15=0,"brak odchylenia",IF(AND(ABS(H15)&gt;=ABS(I15),ABS(H15)&gt;=ABS(J15),ABS(H15)&gt;=ABS(K15)),"Ruch",IF(AND(ABS(I15)&gt;=ABS(J15),ABS(I15)&gt;=ABS(K15)),"Jakość",IF(ABS(J15)&gt;=ABS(K15),"Stawka","Jednorazowe"))))</f>
        <v>Ruch</v>
      </c>
    </row>
    <row r="16" spans="1:13">
      <c r="A16" s="14" t="str">
        <f>Dane!A16</f>
        <v>Partner D</v>
      </c>
      <c r="B16" s="14" t="str">
        <f>Dane!B16</f>
        <v>Wrzesień</v>
      </c>
      <c r="C16" s="15">
        <f>Dane!C16*Dane!D16*Dane!E16</f>
        <v>3150</v>
      </c>
      <c r="D16" s="15">
        <f>Dane!F16*Dane!G16*Dane!H16</f>
        <v>3782.5</v>
      </c>
      <c r="E16" s="16">
        <f>Dane!I16</f>
        <v>0</v>
      </c>
      <c r="F16" s="15">
        <f>D16+E16</f>
        <v>3782.5</v>
      </c>
      <c r="G16" s="17">
        <f>F16-C16</f>
        <v>632.5</v>
      </c>
      <c r="H16" s="15">
        <f>(Dane!F16-Dane!C16)*Dane!D16*Dane!E16</f>
        <v>675</v>
      </c>
      <c r="I16" s="15">
        <f>Dane!F16*(Dane!G16-Dane!D16)*Dane!E16</f>
        <v>-42.5</v>
      </c>
      <c r="J16" s="15">
        <f>Dane!F16*Dane!G16*(Dane!H16-Dane!E16)</f>
        <v>0</v>
      </c>
      <c r="K16" s="15">
        <f>E16</f>
        <v>0</v>
      </c>
      <c r="L16" s="15">
        <f>ROUND(G16-(H16+I16+J16+K16),2)</f>
        <v>0</v>
      </c>
      <c r="M16" s="18" t="str">
        <f>IF(G16=0,"brak odchylenia",IF(AND(ABS(H16)&gt;=ABS(I16),ABS(H16)&gt;=ABS(J16),ABS(H16)&gt;=ABS(K16)),"Ruch",IF(AND(ABS(I16)&gt;=ABS(J16),ABS(I16)&gt;=ABS(K16)),"Jakość",IF(ABS(J16)&gt;=ABS(K16),"Stawka","Jednorazowe"))))</f>
        <v>Ruch</v>
      </c>
    </row>
    <row r="17" spans="1:12">
      <c r="A17" s="19" t="s">
        <v>53</v>
      </c>
      <c r="C17" s="17">
        <f>SUM(C5:C16)</f>
        <v>63726</v>
      </c>
      <c r="D17" s="17">
        <f>SUM(D5:D16)</f>
        <v>60377.900000000009</v>
      </c>
      <c r="E17" s="17">
        <f>SUM(E5:E16)</f>
        <v>-3500</v>
      </c>
      <c r="F17" s="17">
        <f>SUM(F5:F16)</f>
        <v>56877.900000000009</v>
      </c>
      <c r="G17" s="17">
        <f>SUM(G5:G16)</f>
        <v>-6848.1000000000022</v>
      </c>
      <c r="H17" s="17">
        <f>SUM(H5:H16)</f>
        <v>-1913.6000000000004</v>
      </c>
      <c r="I17" s="17">
        <f>SUM(I5:I16)</f>
        <v>-422.00000000000006</v>
      </c>
      <c r="J17" s="17">
        <f>SUM(J5:J16)</f>
        <v>-1012.4999999999998</v>
      </c>
      <c r="K17" s="17">
        <f>SUM(K5:K16)</f>
        <v>-3500</v>
      </c>
      <c r="L17" s="17">
        <f>SUM(L5:L16)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zoomScaleNormal="100" workbookViewId="0"/>
  </sheetViews>
  <sheetFormatPr defaultColWidth="8.7109375" defaultRowHeight="15"/>
  <cols>
    <col min="1" max="1" width="50" customWidth="1"/>
    <col min="2" max="2" width="14" customWidth="1"/>
    <col min="3" max="4" width="16" customWidth="1"/>
    <col min="5" max="5" width="14" customWidth="1"/>
    <col min="6" max="8" width="16" customWidth="1"/>
    <col min="9" max="9" width="18" customWidth="1"/>
    <col min="10" max="10" width="26" customWidth="1"/>
  </cols>
  <sheetData>
    <row r="1" spans="1:10" ht="17.45">
      <c r="A1" s="1" t="s">
        <v>54</v>
      </c>
    </row>
    <row r="3" spans="1:10" ht="57.75" customHeight="1">
      <c r="A3" s="9" t="s">
        <v>15</v>
      </c>
      <c r="B3" s="9" t="s">
        <v>55</v>
      </c>
      <c r="C3" s="9" t="s">
        <v>56</v>
      </c>
      <c r="D3" s="9" t="s">
        <v>57</v>
      </c>
      <c r="E3" s="9" t="s">
        <v>58</v>
      </c>
      <c r="F3" s="9" t="s">
        <v>47</v>
      </c>
      <c r="G3" s="9" t="s">
        <v>48</v>
      </c>
      <c r="H3" s="9" t="s">
        <v>49</v>
      </c>
      <c r="I3" s="9" t="s">
        <v>50</v>
      </c>
      <c r="J3" s="9" t="s">
        <v>59</v>
      </c>
    </row>
    <row r="4" spans="1:10">
      <c r="A4" s="10" t="s">
        <v>25</v>
      </c>
      <c r="B4" s="15">
        <f>SUMIFS(Analiza_PVM!$C$5:$C$16,Analiza_PVM!$A$5:$A$16,$A4)</f>
        <v>17550</v>
      </c>
      <c r="C4" s="15">
        <f>SUMIFS(Analiza_PVM!$F$5:$F$16,Analiza_PVM!$A$5:$A$16,$A4)</f>
        <v>16449.3</v>
      </c>
      <c r="D4" s="15">
        <f>SUMIFS(Analiza_PVM!$G$5:$G$16,Analiza_PVM!$A$5:$A$16,$A4)</f>
        <v>-1100.6999999999998</v>
      </c>
      <c r="E4" s="20">
        <f>IFERROR(D4/B4,0)</f>
        <v>-6.271794871794871E-2</v>
      </c>
      <c r="F4" s="15">
        <f>SUMIFS(Analiza_PVM!$H$5:$H$16,Analiza_PVM!$A$5:$A$16,$A4)</f>
        <v>-90</v>
      </c>
      <c r="G4" s="15">
        <f>SUMIFS(Analiza_PVM!$I$5:$I$16,Analiza_PVM!$A$5:$A$16,$A4)</f>
        <v>1.7999999999999972</v>
      </c>
      <c r="H4" s="15">
        <f>SUMIFS(Analiza_PVM!$J$5:$J$16,Analiza_PVM!$A$5:$A$16,$A4)</f>
        <v>-1012.4999999999998</v>
      </c>
      <c r="I4" s="15">
        <f>SUMIFS(Analiza_PVM!$K$5:$K$16,Analiza_PVM!$A$5:$A$16,$A4)</f>
        <v>0</v>
      </c>
      <c r="J4" s="18" t="str">
        <f>IF(AND(ABS(F4)&gt;=ABS(G4),ABS(F4)&gt;=ABS(H4),ABS(F4)&gt;=ABS(I4)),"Ruch",IF(AND(ABS(G4)&gt;=ABS(H4),ABS(G4)&gt;=ABS(I4)),"Jakość",IF(ABS(H4)&gt;=ABS(I4),"Stawka","Jednorazowe")))</f>
        <v>Stawka</v>
      </c>
    </row>
    <row r="5" spans="1:10">
      <c r="A5" s="10" t="s">
        <v>31</v>
      </c>
      <c r="B5" s="15">
        <f>SUMIFS(Analiza_PVM!$C$5:$C$16,Analiza_PVM!$A$5:$A$16,$A5)</f>
        <v>19845</v>
      </c>
      <c r="C5" s="15">
        <f>SUMIFS(Analiza_PVM!$F$5:$F$16,Analiza_PVM!$A$5:$A$16,$A5)</f>
        <v>16478</v>
      </c>
      <c r="D5" s="15">
        <f>SUMIFS(Analiza_PVM!$G$5:$G$16,Analiza_PVM!$A$5:$A$16,$A5)</f>
        <v>-3367</v>
      </c>
      <c r="E5" s="20">
        <f>IFERROR(D5/B5,0)</f>
        <v>-0.16966490299823633</v>
      </c>
      <c r="F5" s="15">
        <f>SUMIFS(Analiza_PVM!$H$5:$H$16,Analiza_PVM!$A$5:$A$16,$A5)</f>
        <v>-4095</v>
      </c>
      <c r="G5" s="15">
        <f>SUMIFS(Analiza_PVM!$I$5:$I$16,Analiza_PVM!$A$5:$A$16,$A5)</f>
        <v>728</v>
      </c>
      <c r="H5" s="15">
        <f>SUMIFS(Analiza_PVM!$J$5:$J$16,Analiza_PVM!$A$5:$A$16,$A5)</f>
        <v>0</v>
      </c>
      <c r="I5" s="15">
        <f>SUMIFS(Analiza_PVM!$K$5:$K$16,Analiza_PVM!$A$5:$A$16,$A5)</f>
        <v>0</v>
      </c>
      <c r="J5" s="18" t="str">
        <f>IF(AND(ABS(F5)&gt;=ABS(G5),ABS(F5)&gt;=ABS(H5),ABS(F5)&gt;=ABS(I5)),"Ruch",IF(AND(ABS(G5)&gt;=ABS(H5),ABS(G5)&gt;=ABS(I5)),"Jakość",IF(ABS(H5)&gt;=ABS(I5),"Stawka","Jednorazowe")))</f>
        <v>Ruch</v>
      </c>
    </row>
    <row r="6" spans="1:10">
      <c r="A6" s="10" t="s">
        <v>35</v>
      </c>
      <c r="B6" s="15">
        <f>SUMIFS(Analiza_PVM!$C$5:$C$16,Analiza_PVM!$A$5:$A$16,$A6)</f>
        <v>17556.000000000004</v>
      </c>
      <c r="C6" s="15">
        <f>SUMIFS(Analiza_PVM!$F$5:$F$16,Analiza_PVM!$A$5:$A$16,$A6)</f>
        <v>13480.600000000002</v>
      </c>
      <c r="D6" s="15">
        <f>SUMIFS(Analiza_PVM!$G$5:$G$16,Analiza_PVM!$A$5:$A$16,$A6)</f>
        <v>-4075.4000000000015</v>
      </c>
      <c r="E6" s="20">
        <f>IFERROR(D6/B6,0)</f>
        <v>-0.23213716108452953</v>
      </c>
      <c r="F6" s="15">
        <f>SUMIFS(Analiza_PVM!$H$5:$H$16,Analiza_PVM!$A$5:$A$16,$A6)</f>
        <v>246.40000000000003</v>
      </c>
      <c r="G6" s="15">
        <f>SUMIFS(Analiza_PVM!$I$5:$I$16,Analiza_PVM!$A$5:$A$16,$A6)</f>
        <v>-821.80000000000007</v>
      </c>
      <c r="H6" s="15">
        <f>SUMIFS(Analiza_PVM!$J$5:$J$16,Analiza_PVM!$A$5:$A$16,$A6)</f>
        <v>0</v>
      </c>
      <c r="I6" s="15">
        <f>SUMIFS(Analiza_PVM!$K$5:$K$16,Analiza_PVM!$A$5:$A$16,$A6)</f>
        <v>-3500</v>
      </c>
      <c r="J6" s="18" t="str">
        <f>IF(AND(ABS(F6)&gt;=ABS(G6),ABS(F6)&gt;=ABS(H6),ABS(F6)&gt;=ABS(I6)),"Ruch",IF(AND(ABS(G6)&gt;=ABS(H6),ABS(G6)&gt;=ABS(I6)),"Jakość",IF(ABS(H6)&gt;=ABS(I6),"Stawka","Jednorazowe")))</f>
        <v>Jednorazowe</v>
      </c>
    </row>
    <row r="7" spans="1:10">
      <c r="A7" s="10" t="s">
        <v>38</v>
      </c>
      <c r="B7" s="15">
        <f>SUMIFS(Analiza_PVM!$C$5:$C$16,Analiza_PVM!$A$5:$A$16,$A7)</f>
        <v>8775</v>
      </c>
      <c r="C7" s="15">
        <f>SUMIFS(Analiza_PVM!$F$5:$F$16,Analiza_PVM!$A$5:$A$16,$A7)</f>
        <v>10470</v>
      </c>
      <c r="D7" s="15">
        <f>SUMIFS(Analiza_PVM!$G$5:$G$16,Analiza_PVM!$A$5:$A$16,$A7)</f>
        <v>1695</v>
      </c>
      <c r="E7" s="20">
        <f>IFERROR(D7/B7,0)</f>
        <v>0.19316239316239317</v>
      </c>
      <c r="F7" s="15">
        <f>SUMIFS(Analiza_PVM!$H$5:$H$16,Analiza_PVM!$A$5:$A$16,$A7)</f>
        <v>2025</v>
      </c>
      <c r="G7" s="15">
        <f>SUMIFS(Analiza_PVM!$I$5:$I$16,Analiza_PVM!$A$5:$A$16,$A7)</f>
        <v>-330</v>
      </c>
      <c r="H7" s="15">
        <f>SUMIFS(Analiza_PVM!$J$5:$J$16,Analiza_PVM!$A$5:$A$16,$A7)</f>
        <v>0</v>
      </c>
      <c r="I7" s="15">
        <f>SUMIFS(Analiza_PVM!$K$5:$K$16,Analiza_PVM!$A$5:$A$16,$A7)</f>
        <v>0</v>
      </c>
      <c r="J7" s="18" t="str">
        <f>IF(AND(ABS(F7)&gt;=ABS(G7),ABS(F7)&gt;=ABS(H7),ABS(F7)&gt;=ABS(I7)),"Ruch",IF(AND(ABS(G7)&gt;=ABS(H7),ABS(G7)&gt;=ABS(I7)),"Jakość",IF(ABS(H7)&gt;=ABS(I7),"Stawka","Jednorazowe")))</f>
        <v>Ruch</v>
      </c>
    </row>
    <row r="8" spans="1:10">
      <c r="A8" s="19" t="s">
        <v>53</v>
      </c>
      <c r="B8" s="17">
        <f>SUM(B4:B7)</f>
        <v>63726</v>
      </c>
      <c r="C8" s="17">
        <f>SUM(C4:C7)</f>
        <v>56877.900000000009</v>
      </c>
      <c r="D8" s="17">
        <f>SUM(D4:D7)</f>
        <v>-6848.1000000000022</v>
      </c>
      <c r="E8" s="21">
        <f>IFERROR(D8/B8,0)</f>
        <v>-0.10746163261463143</v>
      </c>
      <c r="F8" s="17">
        <f>SUM(F4:F7)</f>
        <v>-1913.6</v>
      </c>
      <c r="G8" s="17">
        <f>SUM(G4:G7)</f>
        <v>-422.00000000000011</v>
      </c>
      <c r="H8" s="17">
        <f>SUM(H4:H7)</f>
        <v>-1012.4999999999998</v>
      </c>
      <c r="I8" s="17">
        <f>SUM(I4:I7)</f>
        <v>-3500</v>
      </c>
    </row>
    <row r="10" spans="1:10">
      <c r="A10" s="18" t="s">
        <v>60</v>
      </c>
      <c r="B10" s="15">
        <f>ROUND(F8+G8+H8+I8-D8,2)</f>
        <v>0</v>
      </c>
    </row>
    <row r="11" spans="1:10">
      <c r="A11" s="18" t="s">
        <v>61</v>
      </c>
      <c r="B11" s="18" t="str">
        <f>INDEX(A4:A7,MATCH(MIN(D4:D7),D4:D7,0))</f>
        <v>Partner C</v>
      </c>
    </row>
    <row r="12" spans="1:10">
      <c r="A12" s="18" t="s">
        <v>62</v>
      </c>
      <c r="B12" s="18" t="str">
        <f>INDEX(A4:A7,MATCH(MAX(D4:D7),D4:D7,0))</f>
        <v>Partner D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showGridLines="0" zoomScaleNormal="100" workbookViewId="0"/>
  </sheetViews>
  <sheetFormatPr defaultColWidth="8.7109375" defaultRowHeight="15"/>
  <cols>
    <col min="1" max="1" width="130" customWidth="1"/>
  </cols>
  <sheetData>
    <row r="1" spans="1:1" ht="17.45">
      <c r="A1" s="1" t="s">
        <v>63</v>
      </c>
    </row>
    <row r="3" spans="1:1" ht="30" customHeight="1">
      <c r="A3" s="22" t="str">
        <f>"1. Łączne odchylenie prowizji od planu: "&amp;ROUND(Podsumowanie!D8,0)&amp;" zł ("&amp;ROUND(Podsumowanie!E8*100,1)&amp;"% planu)."</f>
        <v>1. Łączne odchylenie prowizji od planu: -6848 zł (-10,7% planu).</v>
      </c>
    </row>
    <row r="4" spans="1:1" ht="30" customHeight="1">
      <c r="A4" s="22" t="str">
        <f>"2. Rozbicie: ruch "&amp;ROUND(Podsumowanie!F8,0)&amp;" zł, jakość graczy "&amp;ROUND(Podsumowanie!G8,0)&amp;" zł, stawka "&amp;ROUND(Podsumowanie!H8,0)&amp;" zł, jednorazowe "&amp;ROUND(Podsumowanie!I8,0)&amp;" zł."</f>
        <v>2. Rozbicie: ruch -1914 zł, jakość graczy -422 zł, stawka -1013 zł, jednorazowe -3500 zł.</v>
      </c>
    </row>
    <row r="5" spans="1:1" ht="30" customHeight="1">
      <c r="A5" s="22" t="str">
        <f>"3. Największy minus: "&amp;Podsumowanie!B11&amp;" ("&amp;ROUND(MIN(Podsumowanie!D4:D7),0)&amp;" zł). Największy plus: "&amp;Podsumowanie!B12&amp;" ("&amp;ROUND(MAX(Podsumowanie!D4:D7),0)&amp;" zł)."</f>
        <v>3. Największy minus: Partner C (-4075 zł). Największy plus: Partner D (1695 zł).</v>
      </c>
    </row>
    <row r="6" spans="1:1" ht="30" customHeight="1">
      <c r="A6" s="22" t="str">
        <f>"4. Czynniki, na które mamy wpływ: ruch ("&amp;ROUND(Podsumowanie!F8,0)&amp;" zł) i jakość ("&amp;ROUND(Podsumowanie!G8,0)&amp;" zł). Poza naszą kontrolą: stawka i korekty jednorazowe."</f>
        <v>4. Czynniki, na które mamy wpływ: ruch (-1914 zł) i jakość (-422 zł). Poza naszą kontrolą: stawka i korekty jednorazowe.</v>
      </c>
    </row>
    <row r="9" spans="1:1">
      <c r="A9" s="19"/>
    </row>
    <row r="10" spans="1:1" ht="30" customHeight="1">
      <c r="A10" s="23" t="s">
        <v>64</v>
      </c>
    </row>
    <row r="11" spans="1:1" ht="30" customHeight="1">
      <c r="A11" s="23" t="s">
        <v>65</v>
      </c>
    </row>
    <row r="12" spans="1:1" ht="30" customHeight="1">
      <c r="A12" s="23" t="s">
        <v>66</v>
      </c>
    </row>
    <row r="13" spans="1:1" ht="30" customHeight="1">
      <c r="A13" s="23" t="s">
        <v>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2026-10-17T19:01:33Z</dcterms:created>
  <dcterms:modified xsi:type="dcterms:W3CDTF">2026-10-18T16:33:15Z</dcterms:modified>
  <cp:category/>
  <cp:contentStatus/>
</cp:coreProperties>
</file>