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9" documentId="11_8EDA028B79A9B9915E425A474CDB4A52394F352C" xr6:coauthVersionLast="47" xr6:coauthVersionMax="47" xr10:uidLastSave="{79CBCF3F-BC69-49A4-8556-E7EC4A906C31}"/>
  <bookViews>
    <workbookView xWindow="0" yWindow="0" windowWidth="16384" windowHeight="8192" tabRatio="500" xr2:uid="{00000000-000D-0000-FFFF-FFFF00000000}"/>
  </bookViews>
  <sheets>
    <sheet name="Instrukcja" sheetId="1" r:id="rId1"/>
    <sheet name="Historia" sheetId="2" r:id="rId2"/>
    <sheet name="Sezonowość" sheetId="3" r:id="rId3"/>
    <sheet name="Założenia" sheetId="4" r:id="rId4"/>
    <sheet name="Forecast" sheetId="5" r:id="rId5"/>
    <sheet name="Podsumowanie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5" l="1"/>
  <c r="B16" i="5" s="1"/>
  <c r="A15" i="5"/>
  <c r="B15" i="5" s="1"/>
  <c r="A14" i="5"/>
  <c r="B14" i="5" s="1"/>
  <c r="A13" i="5"/>
  <c r="B13" i="5" s="1"/>
  <c r="A12" i="5"/>
  <c r="B12" i="5" s="1"/>
  <c r="A11" i="5"/>
  <c r="B11" i="5" s="1"/>
  <c r="A10" i="5"/>
  <c r="B10" i="5" s="1"/>
  <c r="A9" i="5"/>
  <c r="B9" i="5" s="1"/>
  <c r="A8" i="5"/>
  <c r="B8" i="5" s="1"/>
  <c r="A7" i="5"/>
  <c r="B7" i="5" s="1"/>
  <c r="A6" i="5"/>
  <c r="B6" i="5" s="1"/>
  <c r="A5" i="5"/>
  <c r="B5" i="5" s="1"/>
  <c r="B8" i="4"/>
  <c r="B7" i="4"/>
  <c r="B5" i="4"/>
  <c r="H28" i="2"/>
  <c r="I28" i="2" s="1"/>
  <c r="G28" i="2"/>
  <c r="B28" i="2"/>
  <c r="H27" i="2"/>
  <c r="I27" i="2" s="1"/>
  <c r="G27" i="2"/>
  <c r="B27" i="2"/>
  <c r="H26" i="2"/>
  <c r="I26" i="2" s="1"/>
  <c r="G26" i="2"/>
  <c r="B26" i="2"/>
  <c r="H25" i="2"/>
  <c r="I25" i="2" s="1"/>
  <c r="G25" i="2"/>
  <c r="B25" i="2"/>
  <c r="H24" i="2"/>
  <c r="I24" i="2" s="1"/>
  <c r="G24" i="2"/>
  <c r="B24" i="2"/>
  <c r="H23" i="2"/>
  <c r="I23" i="2" s="1"/>
  <c r="G23" i="2"/>
  <c r="B23" i="2"/>
  <c r="H22" i="2"/>
  <c r="I22" i="2" s="1"/>
  <c r="G22" i="2"/>
  <c r="B22" i="2"/>
  <c r="H21" i="2"/>
  <c r="I21" i="2" s="1"/>
  <c r="G21" i="2"/>
  <c r="B21" i="2"/>
  <c r="H20" i="2"/>
  <c r="I20" i="2" s="1"/>
  <c r="G20" i="2"/>
  <c r="B20" i="2"/>
  <c r="H19" i="2"/>
  <c r="I19" i="2" s="1"/>
  <c r="G19" i="2"/>
  <c r="B19" i="2"/>
  <c r="H18" i="2"/>
  <c r="I18" i="2" s="1"/>
  <c r="G18" i="2"/>
  <c r="B18" i="2"/>
  <c r="H17" i="2"/>
  <c r="I17" i="2" s="1"/>
  <c r="G17" i="2"/>
  <c r="B17" i="2"/>
  <c r="H16" i="2"/>
  <c r="I16" i="2" s="1"/>
  <c r="G16" i="2"/>
  <c r="B16" i="2"/>
  <c r="H15" i="2"/>
  <c r="I15" i="2" s="1"/>
  <c r="G15" i="2"/>
  <c r="B15" i="2"/>
  <c r="H14" i="2"/>
  <c r="I14" i="2" s="1"/>
  <c r="G14" i="2"/>
  <c r="B14" i="2"/>
  <c r="H13" i="2"/>
  <c r="I13" i="2" s="1"/>
  <c r="G13" i="2"/>
  <c r="B13" i="2"/>
  <c r="H12" i="2"/>
  <c r="I12" i="2" s="1"/>
  <c r="G12" i="2"/>
  <c r="B12" i="2"/>
  <c r="H11" i="2"/>
  <c r="I11" i="2" s="1"/>
  <c r="G11" i="2"/>
  <c r="B11" i="2"/>
  <c r="H10" i="2"/>
  <c r="I10" i="2" s="1"/>
  <c r="G10" i="2"/>
  <c r="B10" i="2"/>
  <c r="H9" i="2"/>
  <c r="I9" i="2" s="1"/>
  <c r="G9" i="2"/>
  <c r="B9" i="2"/>
  <c r="H8" i="2"/>
  <c r="I8" i="2" s="1"/>
  <c r="G8" i="2"/>
  <c r="B8" i="2"/>
  <c r="H7" i="2"/>
  <c r="I7" i="2" s="1"/>
  <c r="G7" i="2"/>
  <c r="B7" i="2"/>
  <c r="H6" i="2"/>
  <c r="I6" i="2" s="1"/>
  <c r="G6" i="2"/>
  <c r="B6" i="2"/>
  <c r="H5" i="2"/>
  <c r="I5" i="2" s="1"/>
  <c r="G5" i="2"/>
  <c r="B5" i="2"/>
  <c r="D16" i="3" l="1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E5" i="3" s="1"/>
  <c r="D7" i="5"/>
  <c r="F7" i="5" s="1"/>
  <c r="M7" i="5" l="1"/>
  <c r="N7" i="5" s="1"/>
  <c r="O7" i="5" s="1"/>
  <c r="J7" i="5"/>
  <c r="K7" i="5" s="1"/>
  <c r="L7" i="5" s="1"/>
  <c r="G7" i="5"/>
  <c r="H7" i="5" s="1"/>
  <c r="I7" i="5" s="1"/>
  <c r="E6" i="3"/>
  <c r="D8" i="5" s="1"/>
  <c r="F8" i="5" s="1"/>
  <c r="E7" i="3"/>
  <c r="D9" i="5" s="1"/>
  <c r="F9" i="5" s="1"/>
  <c r="E8" i="3"/>
  <c r="D10" i="5" s="1"/>
  <c r="F10" i="5" s="1"/>
  <c r="E9" i="3"/>
  <c r="D11" i="5" s="1"/>
  <c r="F11" i="5" s="1"/>
  <c r="E10" i="3"/>
  <c r="D12" i="5" s="1"/>
  <c r="F12" i="5" s="1"/>
  <c r="E11" i="3"/>
  <c r="D13" i="5" s="1"/>
  <c r="F13" i="5" s="1"/>
  <c r="E12" i="3"/>
  <c r="D14" i="5" s="1"/>
  <c r="F14" i="5" s="1"/>
  <c r="E13" i="3"/>
  <c r="D15" i="5" s="1"/>
  <c r="F15" i="5" s="1"/>
  <c r="E14" i="3"/>
  <c r="D16" i="5" s="1"/>
  <c r="F16" i="5" s="1"/>
  <c r="E15" i="3"/>
  <c r="D5" i="5" s="1"/>
  <c r="F5" i="5" s="1"/>
  <c r="E16" i="3"/>
  <c r="D6" i="5" s="1"/>
  <c r="F6" i="5" s="1"/>
  <c r="M6" i="5" l="1"/>
  <c r="N6" i="5" s="1"/>
  <c r="O6" i="5" s="1"/>
  <c r="J6" i="5"/>
  <c r="K6" i="5" s="1"/>
  <c r="L6" i="5" s="1"/>
  <c r="G6" i="5"/>
  <c r="H6" i="5" s="1"/>
  <c r="I6" i="5" s="1"/>
  <c r="F17" i="5"/>
  <c r="M5" i="5"/>
  <c r="J5" i="5"/>
  <c r="G5" i="5"/>
  <c r="M16" i="5"/>
  <c r="N16" i="5" s="1"/>
  <c r="O16" i="5" s="1"/>
  <c r="J16" i="5"/>
  <c r="K16" i="5" s="1"/>
  <c r="L16" i="5" s="1"/>
  <c r="G16" i="5"/>
  <c r="H16" i="5" s="1"/>
  <c r="I16" i="5" s="1"/>
  <c r="M15" i="5"/>
  <c r="N15" i="5" s="1"/>
  <c r="O15" i="5" s="1"/>
  <c r="J15" i="5"/>
  <c r="K15" i="5" s="1"/>
  <c r="L15" i="5" s="1"/>
  <c r="G15" i="5"/>
  <c r="H15" i="5" s="1"/>
  <c r="I15" i="5" s="1"/>
  <c r="M14" i="5"/>
  <c r="N14" i="5" s="1"/>
  <c r="O14" i="5" s="1"/>
  <c r="D15" i="6" s="1"/>
  <c r="J14" i="5"/>
  <c r="K14" i="5" s="1"/>
  <c r="L14" i="5" s="1"/>
  <c r="C15" i="6" s="1"/>
  <c r="G14" i="5"/>
  <c r="H14" i="5" s="1"/>
  <c r="I14" i="5" s="1"/>
  <c r="B15" i="6" s="1"/>
  <c r="M13" i="5"/>
  <c r="N13" i="5" s="1"/>
  <c r="O13" i="5" s="1"/>
  <c r="J13" i="5"/>
  <c r="K13" i="5" s="1"/>
  <c r="L13" i="5" s="1"/>
  <c r="G13" i="5"/>
  <c r="H13" i="5" s="1"/>
  <c r="I13" i="5" s="1"/>
  <c r="M12" i="5"/>
  <c r="N12" i="5" s="1"/>
  <c r="O12" i="5" s="1"/>
  <c r="J12" i="5"/>
  <c r="K12" i="5" s="1"/>
  <c r="L12" i="5" s="1"/>
  <c r="G12" i="5"/>
  <c r="H12" i="5" s="1"/>
  <c r="I12" i="5" s="1"/>
  <c r="M11" i="5"/>
  <c r="N11" i="5" s="1"/>
  <c r="O11" i="5" s="1"/>
  <c r="D14" i="6" s="1"/>
  <c r="J11" i="5"/>
  <c r="K11" i="5" s="1"/>
  <c r="L11" i="5" s="1"/>
  <c r="C14" i="6" s="1"/>
  <c r="G11" i="5"/>
  <c r="H11" i="5" s="1"/>
  <c r="I11" i="5" s="1"/>
  <c r="B14" i="6" s="1"/>
  <c r="M10" i="5"/>
  <c r="N10" i="5" s="1"/>
  <c r="O10" i="5" s="1"/>
  <c r="J10" i="5"/>
  <c r="K10" i="5" s="1"/>
  <c r="L10" i="5" s="1"/>
  <c r="G10" i="5"/>
  <c r="H10" i="5" s="1"/>
  <c r="I10" i="5" s="1"/>
  <c r="M9" i="5"/>
  <c r="N9" i="5" s="1"/>
  <c r="O9" i="5" s="1"/>
  <c r="J9" i="5"/>
  <c r="K9" i="5" s="1"/>
  <c r="L9" i="5" s="1"/>
  <c r="G9" i="5"/>
  <c r="H9" i="5" s="1"/>
  <c r="I9" i="5" s="1"/>
  <c r="M8" i="5"/>
  <c r="N8" i="5" s="1"/>
  <c r="O8" i="5" s="1"/>
  <c r="D13" i="6" s="1"/>
  <c r="J8" i="5"/>
  <c r="K8" i="5" s="1"/>
  <c r="L8" i="5" s="1"/>
  <c r="C13" i="6" s="1"/>
  <c r="G8" i="5"/>
  <c r="H8" i="5" s="1"/>
  <c r="I8" i="5" s="1"/>
  <c r="B13" i="6" s="1"/>
  <c r="G17" i="5" l="1"/>
  <c r="B4" i="6" s="1"/>
  <c r="H5" i="5"/>
  <c r="J17" i="5"/>
  <c r="C4" i="6" s="1"/>
  <c r="K5" i="5"/>
  <c r="M17" i="5"/>
  <c r="D4" i="6" s="1"/>
  <c r="N5" i="5"/>
  <c r="N17" i="5" l="1"/>
  <c r="D5" i="6" s="1"/>
  <c r="O5" i="5"/>
  <c r="K17" i="5"/>
  <c r="C5" i="6" s="1"/>
  <c r="L5" i="5"/>
  <c r="H17" i="5"/>
  <c r="B5" i="6" s="1"/>
  <c r="I5" i="5"/>
  <c r="B12" i="6" l="1"/>
  <c r="B16" i="6" s="1"/>
  <c r="I17" i="5"/>
  <c r="B6" i="6" s="1"/>
  <c r="C12" i="6"/>
  <c r="C16" i="6" s="1"/>
  <c r="L17" i="5"/>
  <c r="C6" i="6" s="1"/>
  <c r="C7" i="6" s="1"/>
  <c r="C8" i="6" s="1"/>
  <c r="D12" i="6"/>
  <c r="D16" i="6" s="1"/>
  <c r="O17" i="5"/>
  <c r="D6" i="6" s="1"/>
  <c r="D7" i="6" s="1"/>
  <c r="D8" i="6" s="1"/>
  <c r="B22" i="6" l="1"/>
  <c r="C22" i="6" s="1"/>
  <c r="B21" i="6"/>
  <c r="C21" i="6" s="1"/>
  <c r="B20" i="6"/>
  <c r="C20" i="6" s="1"/>
  <c r="B7" i="6"/>
  <c r="B8" i="6" s="1"/>
</calcChain>
</file>

<file path=xl/sharedStrings.xml><?xml version="1.0" encoding="utf-8"?>
<sst xmlns="http://schemas.openxmlformats.org/spreadsheetml/2006/main" count="113" uniqueCount="103">
  <si>
    <t>Projekt Bookie C: forecast prowizji na 12 miesięcy z sezonowością i 3 scenariuszami</t>
  </si>
  <si>
    <t>Cel projektu</t>
  </si>
  <si>
    <t>Zbudować prognozę liczby graczy (FTD), NGR i prowizji na kolejne 12 miesięcy na podstawie historii 24 miesięcy, z uwzględnieniem sezonowości i wydarzeń sportowych, w trzech scenariuszach.</t>
  </si>
  <si>
    <t>Jak czytać arkusze (legenda kolorów)</t>
  </si>
  <si>
    <t>Niebieski tekst = dane wejściowe i założenia (możesz je zmieniać)</t>
  </si>
  <si>
    <t>Czarny tekst = formuły (nie nadpisuj, chyba że ćwiczysz)</t>
  </si>
  <si>
    <t>Zielony tekst = odwołanie do innego arkusza</t>
  </si>
  <si>
    <t>Żółte tło = kluczowe założenia, od których najbardziej zależy wynik</t>
  </si>
  <si>
    <t>Co jest w pliku</t>
  </si>
  <si>
    <t>Historia: 24 miesiące danych z flagą wyłączającą miesiące nietypowe (mundial 2026).</t>
  </si>
  <si>
    <t>Sezonowość: indeks dla każdego miesiąca kalendarzowego policzony z historii.</t>
  </si>
  <si>
    <t>Założenia: poziom bazowy, trend, NGR na FTD, stawka i parametry trzech scenariuszy.</t>
  </si>
  <si>
    <t>Forecast: miesięczna prognoza FTD, NGR i prowizji w trzech scenariuszach.</t>
  </si>
  <si>
    <t>Podsumowanie: sumy, kwartały, analiza wrażliwości i wykres.</t>
  </si>
  <si>
    <t>Historia 24 miesięcy (FIKCYJNA): ruch i wyniki</t>
  </si>
  <si>
    <t>Flaga 1 = miesiąc nietypowy (np. mundial), wyłączony z liczenia sezonowości i poziomu bazowego.</t>
  </si>
  <si>
    <t>Miesiąc</t>
  </si>
  <si>
    <t>Nr miesiąca</t>
  </si>
  <si>
    <t>FTD</t>
  </si>
  <si>
    <t>NGR (zł)</t>
  </si>
  <si>
    <t>Prowizja (zł)</t>
  </si>
  <si>
    <t>Wyłącz (1=tak)</t>
  </si>
  <si>
    <t>NGR na FTD (zł)</t>
  </si>
  <si>
    <t>Średnia FTD bloku 12M (bez wyłączonych)</t>
  </si>
  <si>
    <t>Indeks do średniej bloku</t>
  </si>
  <si>
    <t>Indeks sezonowości (jak dany miesiąc kalendarzowy odbiega od przeciętnego)</t>
  </si>
  <si>
    <t>1,00 = przeciętny miesiąc. 1,10 = 10% powyżej przeciętnej. Liczone tylko z miesięcy niewyłączonych.</t>
  </si>
  <si>
    <t>Indeks surowy</t>
  </si>
  <si>
    <t>Liczba obserwacji</t>
  </si>
  <si>
    <t>Indeks użyty w forecaście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</si>
  <si>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</si>
  <si>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</si>
  <si>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</si>
  <si>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</si>
  <si>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</si>
  <si>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</si>
  <si>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</si>
  <si>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</si>
  <si>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</si>
  <si>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</si>
  <si>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</si>
  <si>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</si>
  <si>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Normalizacja: indeks użyty = indeks surowy ÷ średnia z 12 indeksów, żeby średnia wynosiła dokładnie 1,00.</t>
  </si>
  <si>
    <t>Założenia forecastu (12 miesięcy: listopad 2026 – październik 2027)</t>
  </si>
  <si>
    <t>Parametr</t>
  </si>
  <si>
    <t>Wartość</t>
  </si>
  <si>
    <t>Skąd</t>
  </si>
  <si>
    <t>Poziom bazowy FTD / miesiąc (ostatnie 12M, bez wyłączonych)</t>
  </si>
  <si>
    <t>Z historii (formuła)</t>
  </si>
  <si>
    <t>Miesięczny trend wzrostu FTD</t>
  </si>
  <si>
    <t>Założenie. W historii średni wzrost to ok. 1,2%/mies.</t>
  </si>
  <si>
    <t>NGR na 1 FTD w zł (ostatnie 12M, bez wyłączonych)</t>
  </si>
  <si>
    <t>Z historii (formuła). To zbiorczy wskaźnik: cały NGR miesiąca ÷ nowi gracze miesiąca.</t>
  </si>
  <si>
    <t>Efektywna stawka prowizji (prowizja ÷ NGR)</t>
  </si>
  <si>
    <t>Z historii (formuła). Uśredniona stawka z całego portfela partnerów.</t>
  </si>
  <si>
    <t>Scenariusze</t>
  </si>
  <si>
    <t>Scenariusz</t>
  </si>
  <si>
    <t>Mnożnik ruchu (FTD)</t>
  </si>
  <si>
    <t>Mnożnik NGR na FTD</t>
  </si>
  <si>
    <t>Zmiana stawki (punkty proc.)</t>
  </si>
  <si>
    <t>Bazowy</t>
  </si>
  <si>
    <t>Optymistyczny</t>
  </si>
  <si>
    <t>Pesymistyczny</t>
  </si>
  <si>
    <t>Pesymistyczny: np. spadek pozycji w Google (mniej ruchu), słabsi gracze i obniżka stawki u jednego z partnerów o 2 p.p.</t>
  </si>
  <si>
    <t>Forecast na 12 miesięcy w trzech scenariuszach</t>
  </si>
  <si>
    <t>FTD bazowy = poziom bazowy × (1+trend)^k × indeks sezonowy × (1 + zdarzenia). Scenariusze mnożą ruch, NGR na FTD i stawkę.</t>
  </si>
  <si>
    <t>k (kolejny miesiąc)</t>
  </si>
  <si>
    <t>Indeks sezonowy</t>
  </si>
  <si>
    <t>Zdarzenia (+% ruchu)</t>
  </si>
  <si>
    <t>FTD bazowy (przed scenariuszem)</t>
  </si>
  <si>
    <t>Bazowy: FTD</t>
  </si>
  <si>
    <t>Bazowy: NGR (zł)</t>
  </si>
  <si>
    <t>Bazowy: prowizja (zł)</t>
  </si>
  <si>
    <t>Optymistyczny: FTD</t>
  </si>
  <si>
    <t>Optymistyczny: NGR (zł)</t>
  </si>
  <si>
    <t>Optymistyczny: prowizja (zł)</t>
  </si>
  <si>
    <t>Pesymistyczny: FTD</t>
  </si>
  <si>
    <t>Pesymistyczny: NGR (zł)</t>
  </si>
  <si>
    <t>Pesymistyczny: prowizja (zł)</t>
  </si>
  <si>
    <t>Suma 12 mies.</t>
  </si>
  <si>
    <t>Kolumna E: przykładowe założenia o wydarzeniach (grudzień, faza pucharowa Ligi Mistrzów w marcu, finały w maju). Zmieniaj je według własnej wiedzy o kalendarzu sportowym.</t>
  </si>
  <si>
    <t>Podsumowanie forecastu</t>
  </si>
  <si>
    <t>Wskaźnik</t>
  </si>
  <si>
    <t>FTD razem (12 mies.)</t>
  </si>
  <si>
    <t>NGR razem (zł)</t>
  </si>
  <si>
    <t>Prowizja razem (zł)</t>
  </si>
  <si>
    <t>Różnica prowizji vs bazowy (zł)</t>
  </si>
  <si>
    <t>Różnica prowizji vs bazowy (%)</t>
  </si>
  <si>
    <t>Prowizja kwartalnie (zł)</t>
  </si>
  <si>
    <t>Kwartał</t>
  </si>
  <si>
    <t>K1 (lis 26 – sty 27)</t>
  </si>
  <si>
    <t>K2 (lut – kwi 27)</t>
  </si>
  <si>
    <t>K3 (maj – lip 27)</t>
  </si>
  <si>
    <t>K4 (sie – paź 27)</t>
  </si>
  <si>
    <t>Razem (kontrola = prowizja razem)</t>
  </si>
  <si>
    <t>Analiza wrażliwości (bazowy)</t>
  </si>
  <si>
    <t>Zmiana o −10% w …</t>
  </si>
  <si>
    <t>Prowizja bazowa po zmianie (zł)</t>
  </si>
  <si>
    <t>Zmiana (zł)</t>
  </si>
  <si>
    <t>ruchu (FTD)</t>
  </si>
  <si>
    <t>NGR na gracza</t>
  </si>
  <si>
    <t>stawce prowizji (względnie)</t>
  </si>
  <si>
    <t>Prowizja jest iloczynem ruchu, NGR na gracza i stawki, więc −10% w którymkolwiek czynniku daje −10% prowizji. Liczy się, który czynnik realnie możemy zmienić i który jest bardziej niepewny.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</si>
</sst>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yyyy"/>
    <numFmt numFmtId="165" formatCode="#,##0;\(#,##0\);\-"/>
    <numFmt numFmtId="166" formatCode="#,##0.0;\(#,##0.0\);\-"/>
    <numFmt numFmtId="167" formatCode="0.000"/>
    <numFmt numFmtId="168" formatCode="0.0%;\(0.0%\);\-"/>
    <numFmt numFmtId="169" formatCode="0.0%;\-0.0%;0.0%"/>
    <numFmt numFmtId="170" formatCode="0.0%;\-0.0%;\-"/>
  </numFmts>
  <fonts count="1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2F5496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" fontId="3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0" fontId="4" fillId="0" borderId="1" xfId="0" applyFont="1" applyBorder="1"/>
    <xf numFmtId="167" fontId="3" fillId="0" borderId="1" xfId="0" applyNumberFormat="1" applyFont="1" applyBorder="1"/>
    <xf numFmtId="167" fontId="8" fillId="0" borderId="1" xfId="0" applyNumberFormat="1" applyFont="1" applyBorder="1"/>
    <xf numFmtId="0" fontId="3" fillId="0" borderId="1" xfId="0" applyFont="1" applyBorder="1"/>
    <xf numFmtId="165" fontId="5" fillId="0" borderId="1" xfId="0" applyNumberFormat="1" applyFont="1" applyBorder="1"/>
    <xf numFmtId="168" fontId="4" fillId="2" borderId="1" xfId="0" applyNumberFormat="1" applyFont="1" applyFill="1" applyBorder="1"/>
    <xf numFmtId="166" fontId="5" fillId="0" borderId="1" xfId="0" applyNumberFormat="1" applyFont="1" applyBorder="1"/>
    <xf numFmtId="168" fontId="5" fillId="0" borderId="1" xfId="0" applyNumberFormat="1" applyFont="1" applyBorder="1"/>
    <xf numFmtId="2" fontId="4" fillId="2" borderId="1" xfId="0" applyNumberFormat="1" applyFont="1" applyFill="1" applyBorder="1"/>
    <xf numFmtId="169" fontId="4" fillId="2" borderId="1" xfId="0" applyNumberFormat="1" applyFont="1" applyFill="1" applyBorder="1"/>
    <xf numFmtId="164" fontId="3" fillId="0" borderId="1" xfId="0" applyNumberFormat="1" applyFont="1" applyBorder="1"/>
    <xf numFmtId="167" fontId="5" fillId="0" borderId="1" xfId="0" applyNumberFormat="1" applyFont="1" applyBorder="1"/>
    <xf numFmtId="170" fontId="4" fillId="0" borderId="1" xfId="0" applyNumberFormat="1" applyFont="1" applyBorder="1"/>
    <xf numFmtId="0" fontId="9" fillId="0" borderId="1" xfId="0" applyFont="1" applyBorder="1"/>
    <xf numFmtId="165" fontId="8" fillId="0" borderId="1" xfId="0" applyNumberFormat="1" applyFont="1" applyBorder="1"/>
    <xf numFmtId="165" fontId="10" fillId="0" borderId="1" xfId="0" applyNumberFormat="1" applyFont="1" applyBorder="1"/>
    <xf numFmtId="168" fontId="3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FTD w historii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Historia!C4</c:f>
              <c:strCache>
                <c:ptCount val="1"/>
                <c:pt idx="0">
                  <c:v>FTD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Historia!$A$5:$A$28</c:f>
              <c:numCache>
                <c:formatCode>mmm\ yyyy</c:formatCode>
                <c:ptCount val="2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  <c:pt idx="19">
                  <c:v>46174</c:v>
                </c:pt>
                <c:pt idx="20">
                  <c:v>46204</c:v>
                </c:pt>
                <c:pt idx="21">
                  <c:v>46235</c:v>
                </c:pt>
                <c:pt idx="22">
                  <c:v>46266</c:v>
                </c:pt>
                <c:pt idx="23">
                  <c:v>46296</c:v>
                </c:pt>
              </c:numCache>
            </c:numRef>
          </c:cat>
          <c:val>
            <c:numRef>
              <c:f>Historia!$C$5:$C$28</c:f>
              <c:numCache>
                <c:formatCode>0</c:formatCode>
                <c:ptCount val="24"/>
                <c:pt idx="0">
                  <c:v>831</c:v>
                </c:pt>
                <c:pt idx="1">
                  <c:v>868</c:v>
                </c:pt>
                <c:pt idx="2">
                  <c:v>917</c:v>
                </c:pt>
                <c:pt idx="3">
                  <c:v>826</c:v>
                </c:pt>
                <c:pt idx="4">
                  <c:v>835</c:v>
                </c:pt>
                <c:pt idx="5">
                  <c:v>793</c:v>
                </c:pt>
                <c:pt idx="6">
                  <c:v>820</c:v>
                </c:pt>
                <c:pt idx="7">
                  <c:v>761</c:v>
                </c:pt>
                <c:pt idx="8">
                  <c:v>732</c:v>
                </c:pt>
                <c:pt idx="9">
                  <c:v>953</c:v>
                </c:pt>
                <c:pt idx="10">
                  <c:v>1000</c:v>
                </c:pt>
                <c:pt idx="11">
                  <c:v>933</c:v>
                </c:pt>
                <c:pt idx="12">
                  <c:v>980</c:v>
                </c:pt>
                <c:pt idx="13">
                  <c:v>1033</c:v>
                </c:pt>
                <c:pt idx="14">
                  <c:v>1106</c:v>
                </c:pt>
                <c:pt idx="15">
                  <c:v>961</c:v>
                </c:pt>
                <c:pt idx="16">
                  <c:v>982</c:v>
                </c:pt>
                <c:pt idx="17">
                  <c:v>910</c:v>
                </c:pt>
                <c:pt idx="18">
                  <c:v>922</c:v>
                </c:pt>
                <c:pt idx="19">
                  <c:v>1460</c:v>
                </c:pt>
                <c:pt idx="20">
                  <c:v>1324</c:v>
                </c:pt>
                <c:pt idx="21">
                  <c:v>1085</c:v>
                </c:pt>
                <c:pt idx="22">
                  <c:v>1167</c:v>
                </c:pt>
                <c:pt idx="23">
                  <c:v>1116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3-45D3-A8CD-69401068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783323"/>
        <c:axId val="88302471"/>
      </c:lineChart>
      <c:dateAx>
        <c:axId val="56783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302471"/>
        <c:crosses val="autoZero"/>
        <c:auto val="1"/>
        <c:lblOffset val="100"/>
        <c:baseTimeUnit val="months"/>
      </c:dateAx>
      <c:valAx>
        <c:axId val="88302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FTD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83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Sezonowość: indeks wg miesiąca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Sezonowość!E4</c:f>
              <c:strCache>
                <c:ptCount val="1"/>
                <c:pt idx="0">
                  <c:v>Indeks użyty w forecaście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Sezonowość!$A$5:$A$16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Sezonowość!$E$5:$E$16</c:f>
              <c:numCache>
                <c:formatCode>0.000</c:formatCode>
                <c:ptCount val="12"/>
                <c:pt idx="0">
                  <c:v>1.0862247761182904</c:v>
                </c:pt>
                <c:pt idx="1">
                  <c:v>0.96107459594908562</c:v>
                </c:pt>
                <c:pt idx="2">
                  <c:v>0.97673163706379917</c:v>
                </c:pt>
                <c:pt idx="3">
                  <c:v>0.91646976387140378</c:v>
                </c:pt>
                <c:pt idx="4">
                  <c:v>0.9383247236582497</c:v>
                </c:pt>
                <c:pt idx="5">
                  <c:v>0.89884101478874956</c:v>
                </c:pt>
                <c:pt idx="6">
                  <c:v>0.86458820344988796</c:v>
                </c:pt>
                <c:pt idx="7">
                  <c:v>1.0971431920768318</c:v>
                </c:pt>
                <c:pt idx="8">
                  <c:v>1.1652826317853326</c:v>
                </c:pt>
                <c:pt idx="9">
                  <c:v>1.1005985654745252</c:v>
                </c:pt>
                <c:pt idx="10">
                  <c:v>0.97338442662236113</c:v>
                </c:pt>
                <c:pt idx="11">
                  <c:v>1.021336469141481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2-4D1F-BF99-E4693B2F0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146909"/>
        <c:axId val="33599783"/>
      </c:lineChart>
      <c:catAx>
        <c:axId val="69146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Nr miesiąca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99783"/>
        <c:crosses val="autoZero"/>
        <c:auto val="1"/>
        <c:lblAlgn val="ctr"/>
        <c:lblOffset val="100"/>
        <c:noMultiLvlLbl val="0"/>
      </c:catAx>
      <c:valAx>
        <c:axId val="33599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46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Prowizja miesięczna wg scenariusza (zł)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"Bazowy"</c:f>
              <c:strCache>
                <c:ptCount val="1"/>
                <c:pt idx="0">
                  <c:v>Bazowy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Forecast!$A$5:$A$16</c:f>
              <c:numCache>
                <c:formatCode>mmm\ yyyy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Forecast!$I$5:$I$16</c:f>
              <c:numCache>
                <c:formatCode>#,##0;\(#,##0\);\-</c:formatCode>
                <c:ptCount val="12"/>
                <c:pt idx="0">
                  <c:v>53678.749149652162</c:v>
                </c:pt>
                <c:pt idx="1">
                  <c:v>58592.959111291406</c:v>
                </c:pt>
                <c:pt idx="2">
                  <c:v>61105.520198282538</c:v>
                </c:pt>
                <c:pt idx="3">
                  <c:v>54605.855132613884</c:v>
                </c:pt>
                <c:pt idx="4">
                  <c:v>57731.915651266412</c:v>
                </c:pt>
                <c:pt idx="5">
                  <c:v>53118.157673986425</c:v>
                </c:pt>
                <c:pt idx="6">
                  <c:v>56576.570786865064</c:v>
                </c:pt>
                <c:pt idx="7">
                  <c:v>53143.541358612078</c:v>
                </c:pt>
                <c:pt idx="8">
                  <c:v>51629.54401741011</c:v>
                </c:pt>
                <c:pt idx="9">
                  <c:v>66171.909965616316</c:v>
                </c:pt>
                <c:pt idx="10">
                  <c:v>70984.414551689202</c:v>
                </c:pt>
                <c:pt idx="11">
                  <c:v>67714.55793004614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9C-4E10-9057-F0335ACB92A9}"/>
            </c:ext>
          </c:extLst>
        </c:ser>
        <c:ser>
          <c:idx val="1"/>
          <c:order val="1"/>
          <c:tx>
            <c:strRef>
              <c:f>"Optymistyczny"</c:f>
              <c:strCache>
                <c:ptCount val="1"/>
                <c:pt idx="0">
                  <c:v>Optymistyczny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Forecast!$A$5:$A$16</c:f>
              <c:numCache>
                <c:formatCode>mmm\ yyyy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Forecast!$L$5:$L$16</c:f>
              <c:numCache>
                <c:formatCode>#,##0;\(#,##0\);\-</c:formatCode>
                <c:ptCount val="12"/>
                <c:pt idx="0">
                  <c:v>64817.089598204984</c:v>
                </c:pt>
                <c:pt idx="1">
                  <c:v>70750.998126884369</c:v>
                </c:pt>
                <c:pt idx="2">
                  <c:v>73784.915639426152</c:v>
                </c:pt>
                <c:pt idx="3">
                  <c:v>65936.570072631264</c:v>
                </c:pt>
                <c:pt idx="4">
                  <c:v>69711.28814890419</c:v>
                </c:pt>
                <c:pt idx="5">
                  <c:v>64140.175391338598</c:v>
                </c:pt>
                <c:pt idx="6">
                  <c:v>68316.209225139566</c:v>
                </c:pt>
                <c:pt idx="7">
                  <c:v>64170.826190524087</c:v>
                </c:pt>
                <c:pt idx="8">
                  <c:v>62342.674401022705</c:v>
                </c:pt>
                <c:pt idx="9">
                  <c:v>79902.581283481704</c:v>
                </c:pt>
                <c:pt idx="10">
                  <c:v>85713.680571164703</c:v>
                </c:pt>
                <c:pt idx="11">
                  <c:v>81765.328700530707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9C-4E10-9057-F0335ACB92A9}"/>
            </c:ext>
          </c:extLst>
        </c:ser>
        <c:ser>
          <c:idx val="2"/>
          <c:order val="2"/>
          <c:tx>
            <c:strRef>
              <c:f>"Pesymistyczny"</c:f>
              <c:strCache>
                <c:ptCount val="1"/>
                <c:pt idx="0">
                  <c:v>Pesymistyczny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Forecast!$A$5:$A$16</c:f>
              <c:numCache>
                <c:formatCode>mmm\ yyyy</c:formatCode>
                <c:ptCount val="12"/>
                <c:pt idx="0">
                  <c:v>46327</c:v>
                </c:pt>
                <c:pt idx="1">
                  <c:v>46357</c:v>
                </c:pt>
                <c:pt idx="2">
                  <c:v>46388</c:v>
                </c:pt>
                <c:pt idx="3">
                  <c:v>46419</c:v>
                </c:pt>
                <c:pt idx="4">
                  <c:v>46447</c:v>
                </c:pt>
                <c:pt idx="5">
                  <c:v>46478</c:v>
                </c:pt>
                <c:pt idx="6">
                  <c:v>46508</c:v>
                </c:pt>
                <c:pt idx="7">
                  <c:v>46539</c:v>
                </c:pt>
                <c:pt idx="8">
                  <c:v>46569</c:v>
                </c:pt>
                <c:pt idx="9">
                  <c:v>46600</c:v>
                </c:pt>
                <c:pt idx="10">
                  <c:v>46631</c:v>
                </c:pt>
                <c:pt idx="11">
                  <c:v>46661</c:v>
                </c:pt>
              </c:numCache>
            </c:numRef>
          </c:cat>
          <c:val>
            <c:numRef>
              <c:f>Forecast!$O$5:$O$16</c:f>
              <c:numCache>
                <c:formatCode>#,##0;\(#,##0\);\-</c:formatCode>
                <c:ptCount val="12"/>
                <c:pt idx="0">
                  <c:v>40251.124214475873</c:v>
                </c:pt>
                <c:pt idx="1">
                  <c:v>43936.055005811897</c:v>
                </c:pt>
                <c:pt idx="2">
                  <c:v>45820.10428063733</c:v>
                </c:pt>
                <c:pt idx="3">
                  <c:v>40946.31660757988</c:v>
                </c:pt>
                <c:pt idx="4">
                  <c:v>43290.399736034575</c:v>
                </c:pt>
                <c:pt idx="5">
                  <c:v>39830.763504175229</c:v>
                </c:pt>
                <c:pt idx="6">
                  <c:v>42424.06193226188</c:v>
                </c:pt>
                <c:pt idx="7">
                  <c:v>39849.797514078105</c:v>
                </c:pt>
                <c:pt idx="8">
                  <c:v>38714.523387790054</c:v>
                </c:pt>
                <c:pt idx="9">
                  <c:v>49619.147422931259</c:v>
                </c:pt>
                <c:pt idx="10">
                  <c:v>53227.814222090623</c:v>
                </c:pt>
                <c:pt idx="11">
                  <c:v>50775.905279981205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9C-4E10-9057-F0335ACB9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467867"/>
        <c:axId val="64598271"/>
      </c:lineChart>
      <c:dateAx>
        <c:axId val="84467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98271"/>
        <c:crosses val="autoZero"/>
        <c:auto val="1"/>
        <c:lblOffset val="100"/>
        <c:baseTimeUnit val="months"/>
      </c:dateAx>
      <c:valAx>
        <c:axId val="64598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67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15</xdr:row>
      <xdr:rowOff>20880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16</xdr:row>
      <xdr:rowOff>163800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4"/>
  <sheetViews>
    <sheetView showGridLines="0" tabSelected="1" zoomScaleNormal="100" workbookViewId="0">
      <selection activeCell="B1" sqref="B1"/>
    </sheetView>
  </sheetViews>
  <sheetFormatPr defaultColWidth="8.7109375" defaultRowHeight="15"/>
  <cols>
    <col min="1" max="1" width="3" customWidth="1"/>
    <col min="2" max="2" width="120" customWidth="1"/>
  </cols>
  <sheetData>
    <row r="1" spans="2:2" ht="17.45">
      <c r="B1" s="1" t="s">
        <v>0</v>
      </c>
    </row>
    <row r="3" spans="2:2">
      <c r="B3" s="2" t="s">
        <v>1</v>
      </c>
    </row>
    <row r="4" spans="2:2" ht="30" customHeight="1">
      <c r="B4" s="3" t="s">
        <v>2</v>
      </c>
    </row>
    <row r="6" spans="2:2">
      <c r="B6" s="2" t="s">
        <v>3</v>
      </c>
    </row>
    <row r="7" spans="2:2">
      <c r="B7" s="4" t="s">
        <v>4</v>
      </c>
    </row>
    <row r="8" spans="2:2">
      <c r="B8" s="5" t="s">
        <v>5</v>
      </c>
    </row>
    <row r="9" spans="2:2">
      <c r="B9" s="6" t="s">
        <v>6</v>
      </c>
    </row>
    <row r="10" spans="2:2">
      <c r="B10" s="7" t="s">
        <v>7</v>
      </c>
    </row>
    <row r="11" spans="2:2">
      <c r="B11" s="8"/>
    </row>
    <row r="13" spans="2:2">
      <c r="B13" s="2" t="s">
        <v>8</v>
      </c>
    </row>
    <row r="14" spans="2:2" ht="15" customHeight="1">
      <c r="B14" s="3" t="s">
        <v>9</v>
      </c>
    </row>
    <row r="15" spans="2:2" ht="15" customHeight="1">
      <c r="B15" s="3" t="s">
        <v>10</v>
      </c>
    </row>
    <row r="16" spans="2:2" ht="15" customHeight="1">
      <c r="B16" s="3" t="s">
        <v>11</v>
      </c>
    </row>
    <row r="17" spans="2:2" ht="15" customHeight="1">
      <c r="B17" s="3" t="s">
        <v>12</v>
      </c>
    </row>
    <row r="18" spans="2:2" ht="15" customHeight="1">
      <c r="B18" s="3" t="s">
        <v>13</v>
      </c>
    </row>
    <row r="20" spans="2:2">
      <c r="B20" s="2"/>
    </row>
    <row r="21" spans="2:2" ht="30" customHeight="1">
      <c r="B21" s="3"/>
    </row>
    <row r="22" spans="2:2" ht="30" customHeight="1">
      <c r="B22" s="3"/>
    </row>
    <row r="23" spans="2:2" ht="30" customHeight="1">
      <c r="B23" s="3"/>
    </row>
    <row r="24" spans="2:2" ht="15" customHeight="1">
      <c r="B2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1" customWidth="1"/>
    <col min="3" max="3" width="10" customWidth="1"/>
    <col min="4" max="4" width="13" customWidth="1"/>
    <col min="5" max="7" width="14" customWidth="1"/>
    <col min="8" max="8" width="24" customWidth="1"/>
    <col min="9" max="9" width="16" customWidth="1"/>
  </cols>
  <sheetData>
    <row r="1" spans="1:9" ht="17.45">
      <c r="A1" s="1" t="s">
        <v>14</v>
      </c>
    </row>
    <row r="2" spans="1:9">
      <c r="A2" s="8" t="s">
        <v>15</v>
      </c>
    </row>
    <row r="4" spans="1:9" ht="57.75" customHeight="1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</row>
    <row r="5" spans="1:9">
      <c r="A5" s="10">
        <v>45597</v>
      </c>
      <c r="B5" s="11">
        <f>MONTH(A5)</f>
        <v>11</v>
      </c>
      <c r="C5" s="12">
        <v>831</v>
      </c>
      <c r="D5" s="13">
        <v>153480</v>
      </c>
      <c r="E5" s="13">
        <v>43345</v>
      </c>
      <c r="F5" s="12">
        <v>0</v>
      </c>
      <c r="G5" s="14">
        <f>D5/C5</f>
        <v>184.69314079422384</v>
      </c>
      <c r="H5" s="15">
        <f>AVERAGEIFS($C$5:$C$16,$F$5:$F$16,0)</f>
        <v>855.75</v>
      </c>
      <c r="I5" s="16">
        <f>C5/H5</f>
        <v>0.97107800175284842</v>
      </c>
    </row>
    <row r="6" spans="1:9">
      <c r="A6" s="10">
        <v>45627</v>
      </c>
      <c r="B6" s="11">
        <f>MONTH(A6)</f>
        <v>12</v>
      </c>
      <c r="C6" s="12">
        <v>868</v>
      </c>
      <c r="D6" s="13">
        <v>165393</v>
      </c>
      <c r="E6" s="13">
        <v>45955</v>
      </c>
      <c r="F6" s="12">
        <v>0</v>
      </c>
      <c r="G6" s="14">
        <f>D6/C6</f>
        <v>190.54493087557603</v>
      </c>
      <c r="H6" s="15">
        <f>AVERAGEIFS($C$5:$C$16,$F$5:$F$16,0)</f>
        <v>855.75</v>
      </c>
      <c r="I6" s="16">
        <f>C6/H6</f>
        <v>1.0143149284253579</v>
      </c>
    </row>
    <row r="7" spans="1:9">
      <c r="A7" s="10">
        <v>45658</v>
      </c>
      <c r="B7" s="11">
        <f>MONTH(A7)</f>
        <v>1</v>
      </c>
      <c r="C7" s="12">
        <v>917</v>
      </c>
      <c r="D7" s="13">
        <v>174334</v>
      </c>
      <c r="E7" s="13">
        <v>47523</v>
      </c>
      <c r="F7" s="12">
        <v>0</v>
      </c>
      <c r="G7" s="14">
        <f>D7/C7</f>
        <v>190.11341330425299</v>
      </c>
      <c r="H7" s="15">
        <f>AVERAGEIFS($C$5:$C$16,$F$5:$F$16,0)</f>
        <v>855.75</v>
      </c>
      <c r="I7" s="16">
        <f>C7/H7</f>
        <v>1.0715746421267893</v>
      </c>
    </row>
    <row r="8" spans="1:9">
      <c r="A8" s="10">
        <v>45689</v>
      </c>
      <c r="B8" s="11">
        <f>MONTH(A8)</f>
        <v>2</v>
      </c>
      <c r="C8" s="12">
        <v>826</v>
      </c>
      <c r="D8" s="13">
        <v>151539</v>
      </c>
      <c r="E8" s="13">
        <v>41439</v>
      </c>
      <c r="F8" s="12">
        <v>0</v>
      </c>
      <c r="G8" s="14">
        <f>D8/C8</f>
        <v>183.46125907990316</v>
      </c>
      <c r="H8" s="15">
        <f>AVERAGEIFS($C$5:$C$16,$F$5:$F$16,0)</f>
        <v>855.75</v>
      </c>
      <c r="I8" s="16">
        <f>C8/H8</f>
        <v>0.96523517382413093</v>
      </c>
    </row>
    <row r="9" spans="1:9">
      <c r="A9" s="10">
        <v>45717</v>
      </c>
      <c r="B9" s="11">
        <f>MONTH(A9)</f>
        <v>3</v>
      </c>
      <c r="C9" s="12">
        <v>835</v>
      </c>
      <c r="D9" s="13">
        <v>162798</v>
      </c>
      <c r="E9" s="13">
        <v>44604</v>
      </c>
      <c r="F9" s="12">
        <v>0</v>
      </c>
      <c r="G9" s="14">
        <f>D9/C9</f>
        <v>194.96766467065868</v>
      </c>
      <c r="H9" s="15">
        <f>AVERAGEIFS($C$5:$C$16,$F$5:$F$16,0)</f>
        <v>855.75</v>
      </c>
      <c r="I9" s="16">
        <f>C9/H9</f>
        <v>0.97575226409582239</v>
      </c>
    </row>
    <row r="10" spans="1:9">
      <c r="A10" s="10">
        <v>45748</v>
      </c>
      <c r="B10" s="11">
        <f>MONTH(A10)</f>
        <v>4</v>
      </c>
      <c r="C10" s="12">
        <v>793</v>
      </c>
      <c r="D10" s="13">
        <v>152206</v>
      </c>
      <c r="E10" s="13">
        <v>43708</v>
      </c>
      <c r="F10" s="12">
        <v>0</v>
      </c>
      <c r="G10" s="14">
        <f>D10/C10</f>
        <v>191.93694829760403</v>
      </c>
      <c r="H10" s="15">
        <f>AVERAGEIFS($C$5:$C$16,$F$5:$F$16,0)</f>
        <v>855.75</v>
      </c>
      <c r="I10" s="16">
        <f>C10/H10</f>
        <v>0.92667250949459534</v>
      </c>
    </row>
    <row r="11" spans="1:9">
      <c r="A11" s="10">
        <v>45778</v>
      </c>
      <c r="B11" s="11">
        <f>MONTH(A11)</f>
        <v>5</v>
      </c>
      <c r="C11" s="12">
        <v>820</v>
      </c>
      <c r="D11" s="13">
        <v>154512</v>
      </c>
      <c r="E11" s="13">
        <v>44441</v>
      </c>
      <c r="F11" s="12">
        <v>0</v>
      </c>
      <c r="G11" s="14">
        <f>D11/C11</f>
        <v>188.42926829268293</v>
      </c>
      <c r="H11" s="15">
        <f>AVERAGEIFS($C$5:$C$16,$F$5:$F$16,0)</f>
        <v>855.75</v>
      </c>
      <c r="I11" s="16">
        <f>C11/H11</f>
        <v>0.95822378030966993</v>
      </c>
    </row>
    <row r="12" spans="1:9">
      <c r="A12" s="10">
        <v>45809</v>
      </c>
      <c r="B12" s="11">
        <f>MONTH(A12)</f>
        <v>6</v>
      </c>
      <c r="C12" s="12">
        <v>761</v>
      </c>
      <c r="D12" s="13">
        <v>148736</v>
      </c>
      <c r="E12" s="13">
        <v>41145</v>
      </c>
      <c r="F12" s="12">
        <v>0</v>
      </c>
      <c r="G12" s="14">
        <f>D12/C12</f>
        <v>195.44809461235218</v>
      </c>
      <c r="H12" s="15">
        <f>AVERAGEIFS($C$5:$C$16,$F$5:$F$16,0)</f>
        <v>855.75</v>
      </c>
      <c r="I12" s="16">
        <f>C12/H12</f>
        <v>0.88927841075080338</v>
      </c>
    </row>
    <row r="13" spans="1:9">
      <c r="A13" s="10">
        <v>45839</v>
      </c>
      <c r="B13" s="11">
        <f>MONTH(A13)</f>
        <v>7</v>
      </c>
      <c r="C13" s="12">
        <v>732</v>
      </c>
      <c r="D13" s="13">
        <v>134827</v>
      </c>
      <c r="E13" s="13">
        <v>37338</v>
      </c>
      <c r="F13" s="12">
        <v>0</v>
      </c>
      <c r="G13" s="14">
        <f>D13/C13</f>
        <v>184.18989071038251</v>
      </c>
      <c r="H13" s="15">
        <f>AVERAGEIFS($C$5:$C$16,$F$5:$F$16,0)</f>
        <v>855.75</v>
      </c>
      <c r="I13" s="16">
        <f>C13/H13</f>
        <v>0.85539000876424187</v>
      </c>
    </row>
    <row r="14" spans="1:9">
      <c r="A14" s="10">
        <v>45870</v>
      </c>
      <c r="B14" s="11">
        <f>MONTH(A14)</f>
        <v>8</v>
      </c>
      <c r="C14" s="12">
        <v>953</v>
      </c>
      <c r="D14" s="13">
        <v>176445</v>
      </c>
      <c r="E14" s="13">
        <v>49635</v>
      </c>
      <c r="F14" s="12">
        <v>0</v>
      </c>
      <c r="G14" s="14">
        <f>D14/C14</f>
        <v>185.14690451206715</v>
      </c>
      <c r="H14" s="15">
        <f>AVERAGEIFS($C$5:$C$16,$F$5:$F$16,0)</f>
        <v>855.75</v>
      </c>
      <c r="I14" s="16">
        <f>C14/H14</f>
        <v>1.1136430032135554</v>
      </c>
    </row>
    <row r="15" spans="1:9">
      <c r="A15" s="10">
        <v>45901</v>
      </c>
      <c r="B15" s="11">
        <f>MONTH(A15)</f>
        <v>9</v>
      </c>
      <c r="C15" s="12">
        <v>1000</v>
      </c>
      <c r="D15" s="13">
        <v>188060</v>
      </c>
      <c r="E15" s="13">
        <v>52800</v>
      </c>
      <c r="F15" s="12">
        <v>0</v>
      </c>
      <c r="G15" s="14">
        <f>D15/C15</f>
        <v>188.06</v>
      </c>
      <c r="H15" s="15">
        <f>AVERAGEIFS($C$5:$C$16,$F$5:$F$16,0)</f>
        <v>855.75</v>
      </c>
      <c r="I15" s="16">
        <f>C15/H15</f>
        <v>1.1685655857434998</v>
      </c>
    </row>
    <row r="16" spans="1:9">
      <c r="A16" s="10">
        <v>45931</v>
      </c>
      <c r="B16" s="11">
        <f>MONTH(A16)</f>
        <v>10</v>
      </c>
      <c r="C16" s="12">
        <v>933</v>
      </c>
      <c r="D16" s="13">
        <v>171024</v>
      </c>
      <c r="E16" s="13">
        <v>47082</v>
      </c>
      <c r="F16" s="12">
        <v>0</v>
      </c>
      <c r="G16" s="14">
        <f>D16/C16</f>
        <v>183.30546623794211</v>
      </c>
      <c r="H16" s="15">
        <f>AVERAGEIFS($C$5:$C$16,$F$5:$F$16,0)</f>
        <v>855.75</v>
      </c>
      <c r="I16" s="16">
        <f>C16/H16</f>
        <v>1.0902716914986854</v>
      </c>
    </row>
    <row r="17" spans="1:9">
      <c r="A17" s="10">
        <v>45962</v>
      </c>
      <c r="B17" s="11">
        <f>MONTH(A17)</f>
        <v>11</v>
      </c>
      <c r="C17" s="12">
        <v>980</v>
      </c>
      <c r="D17" s="13">
        <v>185121</v>
      </c>
      <c r="E17" s="13">
        <v>51283</v>
      </c>
      <c r="F17" s="12">
        <v>0</v>
      </c>
      <c r="G17" s="14">
        <f>D17/C17</f>
        <v>188.89897959183673</v>
      </c>
      <c r="H17" s="15">
        <f>AVERAGEIFS($C$17:$C$28,$F$17:$F$28,0)</f>
        <v>1026.2</v>
      </c>
      <c r="I17" s="16">
        <f>C17/H17</f>
        <v>0.95497953615279674</v>
      </c>
    </row>
    <row r="18" spans="1:9">
      <c r="A18" s="10">
        <v>45992</v>
      </c>
      <c r="B18" s="11">
        <f>MONTH(A18)</f>
        <v>12</v>
      </c>
      <c r="C18" s="12">
        <v>1033</v>
      </c>
      <c r="D18" s="13">
        <v>195535</v>
      </c>
      <c r="E18" s="13">
        <v>54123</v>
      </c>
      <c r="F18" s="12">
        <v>0</v>
      </c>
      <c r="G18" s="14">
        <f>D18/C18</f>
        <v>189.28848015488867</v>
      </c>
      <c r="H18" s="15">
        <f>AVERAGEIFS($C$17:$C$28,$F$17:$F$28,0)</f>
        <v>1026.2</v>
      </c>
      <c r="I18" s="16">
        <f>C18/H18</f>
        <v>1.006626388618203</v>
      </c>
    </row>
    <row r="19" spans="1:9">
      <c r="A19" s="10">
        <v>46023</v>
      </c>
      <c r="B19" s="11">
        <f>MONTH(A19)</f>
        <v>1</v>
      </c>
      <c r="C19" s="12">
        <v>1106</v>
      </c>
      <c r="D19" s="13">
        <v>213485</v>
      </c>
      <c r="E19" s="13">
        <v>58902</v>
      </c>
      <c r="F19" s="12">
        <v>0</v>
      </c>
      <c r="G19" s="14">
        <f>D19/C19</f>
        <v>193.02441229656421</v>
      </c>
      <c r="H19" s="15">
        <f>AVERAGEIFS($C$17:$C$28,$F$17:$F$28,0)</f>
        <v>1026.2</v>
      </c>
      <c r="I19" s="16">
        <f>C19/H19</f>
        <v>1.0777626193724419</v>
      </c>
    </row>
    <row r="20" spans="1:9">
      <c r="A20" s="10">
        <v>46054</v>
      </c>
      <c r="B20" s="11">
        <f>MONTH(A20)</f>
        <v>2</v>
      </c>
      <c r="C20" s="12">
        <v>961</v>
      </c>
      <c r="D20" s="13">
        <v>182958</v>
      </c>
      <c r="E20" s="13">
        <v>52326</v>
      </c>
      <c r="F20" s="12">
        <v>0</v>
      </c>
      <c r="G20" s="14">
        <f>D20/C20</f>
        <v>190.38293444328824</v>
      </c>
      <c r="H20" s="15">
        <f>AVERAGEIFS($C$17:$C$28,$F$17:$F$28,0)</f>
        <v>1026.2</v>
      </c>
      <c r="I20" s="16">
        <f>C20/H20</f>
        <v>0.9364646267784057</v>
      </c>
    </row>
    <row r="21" spans="1:9">
      <c r="A21" s="10">
        <v>46082</v>
      </c>
      <c r="B21" s="11">
        <f>MONTH(A21)</f>
        <v>3</v>
      </c>
      <c r="C21" s="12">
        <v>982</v>
      </c>
      <c r="D21" s="13">
        <v>183415</v>
      </c>
      <c r="E21" s="13">
        <v>52765</v>
      </c>
      <c r="F21" s="12">
        <v>0</v>
      </c>
      <c r="G21" s="14">
        <f>D21/C21</f>
        <v>186.77698574338086</v>
      </c>
      <c r="H21" s="15">
        <f>AVERAGEIFS($C$17:$C$28,$F$17:$F$28,0)</f>
        <v>1026.2</v>
      </c>
      <c r="I21" s="16">
        <f>C21/H21</f>
        <v>0.95692847398167991</v>
      </c>
    </row>
    <row r="22" spans="1:9">
      <c r="A22" s="10">
        <v>46113</v>
      </c>
      <c r="B22" s="11">
        <f>MONTH(A22)</f>
        <v>4</v>
      </c>
      <c r="C22" s="12">
        <v>910</v>
      </c>
      <c r="D22" s="13">
        <v>171767</v>
      </c>
      <c r="E22" s="13">
        <v>48801</v>
      </c>
      <c r="F22" s="12">
        <v>0</v>
      </c>
      <c r="G22" s="14">
        <f>D22/C22</f>
        <v>188.75494505494507</v>
      </c>
      <c r="H22" s="15">
        <f>AVERAGEIFS($C$17:$C$28,$F$17:$F$28,0)</f>
        <v>1026.2</v>
      </c>
      <c r="I22" s="16">
        <f>C22/H22</f>
        <v>0.88676671214188263</v>
      </c>
    </row>
    <row r="23" spans="1:9">
      <c r="A23" s="10">
        <v>46143</v>
      </c>
      <c r="B23" s="11">
        <f>MONTH(A23)</f>
        <v>5</v>
      </c>
      <c r="C23" s="12">
        <v>922</v>
      </c>
      <c r="D23" s="13">
        <v>175025</v>
      </c>
      <c r="E23" s="13">
        <v>47717</v>
      </c>
      <c r="F23" s="12">
        <v>0</v>
      </c>
      <c r="G23" s="14">
        <f>D23/C23</f>
        <v>189.83188720173536</v>
      </c>
      <c r="H23" s="15">
        <f>AVERAGEIFS($C$17:$C$28,$F$17:$F$28,0)</f>
        <v>1026.2</v>
      </c>
      <c r="I23" s="16">
        <f>C23/H23</f>
        <v>0.89846033911518219</v>
      </c>
    </row>
    <row r="24" spans="1:9">
      <c r="A24" s="10">
        <v>46174</v>
      </c>
      <c r="B24" s="11">
        <f>MONTH(A24)</f>
        <v>6</v>
      </c>
      <c r="C24" s="12">
        <v>1460</v>
      </c>
      <c r="D24" s="13">
        <v>283271</v>
      </c>
      <c r="E24" s="13">
        <v>79647</v>
      </c>
      <c r="F24" s="12">
        <v>1</v>
      </c>
      <c r="G24" s="14">
        <f>D24/C24</f>
        <v>194.02123287671233</v>
      </c>
      <c r="H24" s="15">
        <f>AVERAGEIFS($C$17:$C$28,$F$17:$F$28,0)</f>
        <v>1026.2</v>
      </c>
      <c r="I24" s="16">
        <f>C24/H24</f>
        <v>1.4227246150847788</v>
      </c>
    </row>
    <row r="25" spans="1:9">
      <c r="A25" s="10">
        <v>46204</v>
      </c>
      <c r="B25" s="11">
        <f>MONTH(A25)</f>
        <v>7</v>
      </c>
      <c r="C25" s="12">
        <v>1324</v>
      </c>
      <c r="D25" s="13">
        <v>247812</v>
      </c>
      <c r="E25" s="13">
        <v>70162</v>
      </c>
      <c r="F25" s="12">
        <v>1</v>
      </c>
      <c r="G25" s="14">
        <f>D25/C25</f>
        <v>187.16918429003022</v>
      </c>
      <c r="H25" s="15">
        <f>AVERAGEIFS($C$17:$C$28,$F$17:$F$28,0)</f>
        <v>1026.2</v>
      </c>
      <c r="I25" s="16">
        <f>C25/H25</f>
        <v>1.2901968427207171</v>
      </c>
    </row>
    <row r="26" spans="1:9">
      <c r="A26" s="10">
        <v>46235</v>
      </c>
      <c r="B26" s="11">
        <f>MONTH(A26)</f>
        <v>8</v>
      </c>
      <c r="C26" s="12">
        <v>1085</v>
      </c>
      <c r="D26" s="13">
        <v>207468</v>
      </c>
      <c r="E26" s="13">
        <v>57946</v>
      </c>
      <c r="F26" s="12">
        <v>0</v>
      </c>
      <c r="G26" s="14">
        <f>D26/C26</f>
        <v>191.2147465437788</v>
      </c>
      <c r="H26" s="15">
        <f>AVERAGEIFS($C$17:$C$28,$F$17:$F$28,0)</f>
        <v>1026.2</v>
      </c>
      <c r="I26" s="16">
        <f>C26/H26</f>
        <v>1.0572987721691678</v>
      </c>
    </row>
    <row r="27" spans="1:9">
      <c r="A27" s="10">
        <v>46266</v>
      </c>
      <c r="B27" s="11">
        <f>MONTH(A27)</f>
        <v>9</v>
      </c>
      <c r="C27" s="12">
        <v>1167</v>
      </c>
      <c r="D27" s="13">
        <v>229618</v>
      </c>
      <c r="E27" s="13">
        <v>64198</v>
      </c>
      <c r="F27" s="12">
        <v>0</v>
      </c>
      <c r="G27" s="14">
        <f>D27/C27</f>
        <v>196.7592116538132</v>
      </c>
      <c r="H27" s="15">
        <f>AVERAGEIFS($C$17:$C$28,$F$17:$F$28,0)</f>
        <v>1026.2</v>
      </c>
      <c r="I27" s="16">
        <f>C27/H27</f>
        <v>1.1372052231533814</v>
      </c>
    </row>
    <row r="28" spans="1:9">
      <c r="A28" s="10">
        <v>46296</v>
      </c>
      <c r="B28" s="11">
        <f>MONTH(A28)</f>
        <v>10</v>
      </c>
      <c r="C28" s="12">
        <v>1116</v>
      </c>
      <c r="D28" s="13">
        <v>204588</v>
      </c>
      <c r="E28" s="13">
        <v>57944</v>
      </c>
      <c r="F28" s="12">
        <v>0</v>
      </c>
      <c r="G28" s="14">
        <f>D28/C28</f>
        <v>183.32258064516128</v>
      </c>
      <c r="H28" s="15">
        <f>AVERAGEIFS($C$17:$C$28,$F$17:$F$28,0)</f>
        <v>1026.2</v>
      </c>
      <c r="I28" s="16">
        <f>C28/H28</f>
        <v>1.0875073085168583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zoomScaleNormal="100" workbookViewId="0"/>
  </sheetViews>
  <sheetFormatPr defaultColWidth="8.7109375" defaultRowHeight="15"/>
  <cols>
    <col min="1" max="1" width="12" customWidth="1"/>
    <col min="2" max="3" width="14" customWidth="1"/>
    <col min="4" max="4" width="18" customWidth="1"/>
    <col min="5" max="5" width="24" customWidth="1"/>
  </cols>
  <sheetData>
    <row r="1" spans="1:5" ht="17.45">
      <c r="A1" s="1" t="s">
        <v>25</v>
      </c>
    </row>
    <row r="2" spans="1:5">
      <c r="A2" s="8" t="s">
        <v>26</v>
      </c>
    </row>
    <row r="4" spans="1:5" ht="31.5" customHeight="1">
      <c r="A4" s="9" t="s">
        <v>17</v>
      </c>
      <c r="B4" s="9" t="s">
        <v>16</v>
      </c>
      <c r="C4" s="9" t="s">
        <v>27</v>
      </c>
      <c r="D4" s="9" t="s">
        <v>28</v>
      </c>
      <c r="E4" s="9" t="s">
        <v>29</v>
      </c>
    </row>
    <row r="5" spans="1:5">
      <c r="A5" s="12">
        <v>1</v>
      </c>
      <c r="B5" s="17" t="s">
        <v>30</v>
      </c>
      <c r="C5" s="18">
        <f>AVERAGEIFS(Historia!$I$5:$I$28,Historia!$B$5:$B$28,A5,Historia!$F$5:$F$28,0)</f>
        <v>1.0746686307496156</v>
      </c>
      <c r="D5" s="11">
        <f>COUNTIFS(Historia!$B$5:$B$28,A5,Historia!$F$5:$F$28,0)</f>
        <v>2</v>
      </c>
      <c r="E5" s="19">
        <f>C5/AVERAGE($C$5:$C$16)</f>
        <v>1.0862247761182904</v>
      </c>
    </row>
    <row r="6" spans="1:5">
      <c r="A6" s="12">
        <v>2</v>
      </c>
      <c r="B6" s="17" t="s">
        <v>31</v>
      </c>
      <c r="C6" s="18">
        <f>AVERAGEIFS(Historia!$I$5:$I$28,Historia!$B$5:$B$28,A6,Historia!$F$5:$F$28,0)</f>
        <v>0.95084990030126826</v>
      </c>
      <c r="D6" s="11">
        <f>COUNTIFS(Historia!$B$5:$B$28,A6,Historia!$F$5:$F$28,0)</f>
        <v>2</v>
      </c>
      <c r="E6" s="19">
        <f>C6/AVERAGE($C$5:$C$16)</f>
        <v>0.96107459594908562</v>
      </c>
    </row>
    <row r="7" spans="1:5">
      <c r="A7" s="12">
        <v>3</v>
      </c>
      <c r="B7" s="17" t="s">
        <v>32</v>
      </c>
      <c r="C7" s="18">
        <f>AVERAGEIFS(Historia!$I$5:$I$28,Historia!$B$5:$B$28,A7,Historia!$F$5:$F$28,0)</f>
        <v>0.96634036903875109</v>
      </c>
      <c r="D7" s="11">
        <f>COUNTIFS(Historia!$B$5:$B$28,A7,Historia!$F$5:$F$28,0)</f>
        <v>2</v>
      </c>
      <c r="E7" s="19">
        <f>C7/AVERAGE($C$5:$C$16)</f>
        <v>0.97673163706379917</v>
      </c>
    </row>
    <row r="8" spans="1:5">
      <c r="A8" s="12">
        <v>4</v>
      </c>
      <c r="B8" s="17" t="s">
        <v>33</v>
      </c>
      <c r="C8" s="18">
        <f>AVERAGEIFS(Historia!$I$5:$I$28,Historia!$B$5:$B$28,A8,Historia!$F$5:$F$28,0)</f>
        <v>0.90671961081823893</v>
      </c>
      <c r="D8" s="11">
        <f>COUNTIFS(Historia!$B$5:$B$28,A8,Historia!$F$5:$F$28,0)</f>
        <v>2</v>
      </c>
      <c r="E8" s="19">
        <f>C8/AVERAGE($C$5:$C$16)</f>
        <v>0.91646976387140378</v>
      </c>
    </row>
    <row r="9" spans="1:5">
      <c r="A9" s="12">
        <v>5</v>
      </c>
      <c r="B9" s="17" t="s">
        <v>34</v>
      </c>
      <c r="C9" s="18">
        <f>AVERAGEIFS(Historia!$I$5:$I$28,Historia!$B$5:$B$28,A9,Historia!$F$5:$F$28,0)</f>
        <v>0.92834205971242612</v>
      </c>
      <c r="D9" s="11">
        <f>COUNTIFS(Historia!$B$5:$B$28,A9,Historia!$F$5:$F$28,0)</f>
        <v>2</v>
      </c>
      <c r="E9" s="19">
        <f>C9/AVERAGE($C$5:$C$16)</f>
        <v>0.9383247236582497</v>
      </c>
    </row>
    <row r="10" spans="1:5">
      <c r="A10" s="12">
        <v>6</v>
      </c>
      <c r="B10" s="17" t="s">
        <v>35</v>
      </c>
      <c r="C10" s="18">
        <f>AVERAGEIFS(Historia!$I$5:$I$28,Historia!$B$5:$B$28,A10,Historia!$F$5:$F$28,0)</f>
        <v>0.88927841075080338</v>
      </c>
      <c r="D10" s="11">
        <f>COUNTIFS(Historia!$B$5:$B$28,A10,Historia!$F$5:$F$28,0)</f>
        <v>1</v>
      </c>
      <c r="E10" s="19">
        <f>C10/AVERAGE($C$5:$C$16)</f>
        <v>0.89884101478874956</v>
      </c>
    </row>
    <row r="11" spans="1:5">
      <c r="A11" s="12">
        <v>7</v>
      </c>
      <c r="B11" s="17" t="s">
        <v>36</v>
      </c>
      <c r="C11" s="18">
        <f>AVERAGEIFS(Historia!$I$5:$I$28,Historia!$B$5:$B$28,A11,Historia!$F$5:$F$28,0)</f>
        <v>0.85539000876424187</v>
      </c>
      <c r="D11" s="11">
        <f>COUNTIFS(Historia!$B$5:$B$28,A11,Historia!$F$5:$F$28,0)</f>
        <v>1</v>
      </c>
      <c r="E11" s="19">
        <f>C11/AVERAGE($C$5:$C$16)</f>
        <v>0.86458820344988796</v>
      </c>
    </row>
    <row r="12" spans="1:5">
      <c r="A12" s="12">
        <v>8</v>
      </c>
      <c r="B12" s="17" t="s">
        <v>37</v>
      </c>
      <c r="C12" s="18">
        <f>AVERAGEIFS(Historia!$I$5:$I$28,Historia!$B$5:$B$28,A12,Historia!$F$5:$F$28,0)</f>
        <v>1.0854708876913617</v>
      </c>
      <c r="D12" s="11">
        <f>COUNTIFS(Historia!$B$5:$B$28,A12,Historia!$F$5:$F$28,0)</f>
        <v>2</v>
      </c>
      <c r="E12" s="19">
        <f>C12/AVERAGE($C$5:$C$16)</f>
        <v>1.0971431920768318</v>
      </c>
    </row>
    <row r="13" spans="1:5">
      <c r="A13" s="12">
        <v>9</v>
      </c>
      <c r="B13" s="17" t="s">
        <v>38</v>
      </c>
      <c r="C13" s="18">
        <f>AVERAGEIFS(Historia!$I$5:$I$28,Historia!$B$5:$B$28,A13,Historia!$F$5:$F$28,0)</f>
        <v>1.1528854044484405</v>
      </c>
      <c r="D13" s="11">
        <f>COUNTIFS(Historia!$B$5:$B$28,A13,Historia!$F$5:$F$28,0)</f>
        <v>2</v>
      </c>
      <c r="E13" s="19">
        <f>C13/AVERAGE($C$5:$C$16)</f>
        <v>1.1652826317853326</v>
      </c>
    </row>
    <row r="14" spans="1:5">
      <c r="A14" s="12">
        <v>10</v>
      </c>
      <c r="B14" s="17" t="s">
        <v>39</v>
      </c>
      <c r="C14" s="18">
        <f>AVERAGEIFS(Historia!$I$5:$I$28,Historia!$B$5:$B$28,A14,Historia!$F$5:$F$28,0)</f>
        <v>1.0888895000077718</v>
      </c>
      <c r="D14" s="11">
        <f>COUNTIFS(Historia!$B$5:$B$28,A14,Historia!$F$5:$F$28,0)</f>
        <v>2</v>
      </c>
      <c r="E14" s="19">
        <f>C14/AVERAGE($C$5:$C$16)</f>
        <v>1.1005985654745252</v>
      </c>
    </row>
    <row r="15" spans="1:5">
      <c r="A15" s="12">
        <v>11</v>
      </c>
      <c r="B15" s="17" t="s">
        <v>40</v>
      </c>
      <c r="C15" s="18">
        <f>AVERAGEIFS(Historia!$I$5:$I$28,Historia!$B$5:$B$28,A15,Historia!$F$5:$F$28,0)</f>
        <v>0.96302876895282252</v>
      </c>
      <c r="D15" s="11">
        <f>COUNTIFS(Historia!$B$5:$B$28,A15,Historia!$F$5:$F$28,0)</f>
        <v>2</v>
      </c>
      <c r="E15" s="19">
        <f>C15/AVERAGE($C$5:$C$16)</f>
        <v>0.97338442662236113</v>
      </c>
    </row>
    <row r="16" spans="1:5">
      <c r="A16" s="12">
        <v>12</v>
      </c>
      <c r="B16" s="17" t="s">
        <v>41</v>
      </c>
      <c r="C16" s="18">
        <f>AVERAGEIFS(Historia!$I$5:$I$28,Historia!$B$5:$B$28,A16,Historia!$F$5:$F$28,0)</f>
        <v>1.0104706585217804</v>
      </c>
      <c r="D16" s="11">
        <f>COUNTIFS(Historia!$B$5:$B$28,A16,Historia!$F$5:$F$28,0)</f>
        <v>2</v>
      </c>
      <c r="E16" s="19">
        <f>C16/AVERAGE($C$5:$C$16)</f>
        <v>1.021336469141481</v>
      </c>
    </row>
    <row r="18" spans="1:1">
      <c r="A18" s="8" t="s">
        <v>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zoomScaleNormal="100" workbookViewId="0"/>
  </sheetViews>
  <sheetFormatPr defaultColWidth="8.7109375" defaultRowHeight="15"/>
  <cols>
    <col min="1" max="1" width="58" customWidth="1"/>
    <col min="2" max="2" width="20" customWidth="1"/>
    <col min="3" max="3" width="24" customWidth="1"/>
    <col min="4" max="4" width="28" customWidth="1"/>
  </cols>
  <sheetData>
    <row r="1" spans="1:4" ht="17.45">
      <c r="A1" s="1" t="s">
        <v>43</v>
      </c>
    </row>
    <row r="4" spans="1:4">
      <c r="A4" s="9" t="s">
        <v>44</v>
      </c>
      <c r="B4" s="9" t="s">
        <v>45</v>
      </c>
      <c r="C4" s="9" t="s">
        <v>46</v>
      </c>
    </row>
    <row r="5" spans="1:4">
      <c r="A5" s="20" t="s">
        <v>47</v>
      </c>
      <c r="B5" s="21">
        <f>AVERAGEIFS(Historia!C17:C28,Historia!F17:F28,0)</f>
        <v>1026.2</v>
      </c>
      <c r="C5" s="8" t="s">
        <v>48</v>
      </c>
    </row>
    <row r="6" spans="1:4">
      <c r="A6" s="20" t="s">
        <v>49</v>
      </c>
      <c r="B6" s="22">
        <v>0.01</v>
      </c>
      <c r="C6" s="8" t="s">
        <v>50</v>
      </c>
    </row>
    <row r="7" spans="1:4">
      <c r="A7" s="20" t="s">
        <v>51</v>
      </c>
      <c r="B7" s="23">
        <f>SUMIFS(Historia!D17:D28,Historia!F17:F28,0)/SUMIFS(Historia!C17:C28,Historia!F17:F28,0)</f>
        <v>189.92204248684467</v>
      </c>
      <c r="C7" s="8" t="s">
        <v>52</v>
      </c>
    </row>
    <row r="8" spans="1:4">
      <c r="A8" s="20" t="s">
        <v>53</v>
      </c>
      <c r="B8" s="24">
        <f>SUMIFS(Historia!E17:E28,Historia!F17:F28,0)/SUMIFS(Historia!D17:D28,Historia!F17:F28,0)</f>
        <v>0.28014910363369555</v>
      </c>
      <c r="C8" s="8" t="s">
        <v>54</v>
      </c>
    </row>
    <row r="10" spans="1:4">
      <c r="A10" s="2" t="s">
        <v>55</v>
      </c>
    </row>
    <row r="11" spans="1:4" ht="31.5" customHeight="1">
      <c r="A11" s="9" t="s">
        <v>56</v>
      </c>
      <c r="B11" s="9" t="s">
        <v>57</v>
      </c>
      <c r="C11" s="9" t="s">
        <v>58</v>
      </c>
      <c r="D11" s="9" t="s">
        <v>59</v>
      </c>
    </row>
    <row r="12" spans="1:4">
      <c r="A12" s="17" t="s">
        <v>60</v>
      </c>
      <c r="B12" s="25">
        <v>1</v>
      </c>
      <c r="C12" s="25">
        <v>1</v>
      </c>
      <c r="D12" s="26">
        <v>0</v>
      </c>
    </row>
    <row r="13" spans="1:4">
      <c r="A13" s="17" t="s">
        <v>61</v>
      </c>
      <c r="B13" s="25">
        <v>1.1499999999999999</v>
      </c>
      <c r="C13" s="25">
        <v>1.05</v>
      </c>
      <c r="D13" s="26">
        <v>0</v>
      </c>
    </row>
    <row r="14" spans="1:4">
      <c r="A14" s="17" t="s">
        <v>62</v>
      </c>
      <c r="B14" s="25">
        <v>0.85</v>
      </c>
      <c r="C14" s="25">
        <v>0.95</v>
      </c>
      <c r="D14" s="26">
        <v>-0.02</v>
      </c>
    </row>
    <row r="16" spans="1:4">
      <c r="A16" s="8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12" customWidth="1"/>
    <col min="2" max="2" width="10" customWidth="1"/>
    <col min="3" max="4" width="12" customWidth="1"/>
    <col min="5" max="5" width="14" customWidth="1"/>
    <col min="6" max="6" width="18" customWidth="1"/>
    <col min="7" max="7" width="12" customWidth="1"/>
    <col min="8" max="8" width="14" customWidth="1"/>
    <col min="9" max="9" width="16" customWidth="1"/>
    <col min="10" max="10" width="14" customWidth="1"/>
    <col min="11" max="11" width="16" customWidth="1"/>
    <col min="12" max="12" width="18" customWidth="1"/>
    <col min="13" max="13" width="14" customWidth="1"/>
    <col min="14" max="14" width="16" customWidth="1"/>
    <col min="15" max="15" width="18" customWidth="1"/>
  </cols>
  <sheetData>
    <row r="1" spans="1:15" ht="17.45">
      <c r="A1" s="1" t="s">
        <v>64</v>
      </c>
    </row>
    <row r="2" spans="1:15">
      <c r="A2" s="8" t="s">
        <v>65</v>
      </c>
    </row>
    <row r="4" spans="1:15" ht="57.75" customHeight="1">
      <c r="A4" s="9" t="s">
        <v>16</v>
      </c>
      <c r="B4" s="9" t="s">
        <v>17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71</v>
      </c>
      <c r="I4" s="9" t="s">
        <v>72</v>
      </c>
      <c r="J4" s="9" t="s">
        <v>73</v>
      </c>
      <c r="K4" s="9" t="s">
        <v>74</v>
      </c>
      <c r="L4" s="9" t="s">
        <v>75</v>
      </c>
      <c r="M4" s="9" t="s">
        <v>76</v>
      </c>
      <c r="N4" s="9" t="s">
        <v>77</v>
      </c>
      <c r="O4" s="9" t="s">
        <v>78</v>
      </c>
    </row>
    <row r="5" spans="1:15">
      <c r="A5" s="27">
        <f>EDATE(Historia!$A$28,1)</f>
        <v>46327</v>
      </c>
      <c r="B5" s="11">
        <f>MONTH(A5)</f>
        <v>11</v>
      </c>
      <c r="C5" s="12">
        <v>1</v>
      </c>
      <c r="D5" s="28">
        <f>INDEX(Sezonowość!$E$5:$E$16,B5)</f>
        <v>0.97338442662236113</v>
      </c>
      <c r="E5" s="29">
        <v>0</v>
      </c>
      <c r="F5" s="15">
        <f>Założenia!$B$5*(1+Założenia!$B$6)^C5*D5*(1+E5)</f>
        <v>1008.8759695858656</v>
      </c>
      <c r="G5" s="15">
        <f>$F5*Założenia!$B$12</f>
        <v>1008.8759695858656</v>
      </c>
      <c r="H5" s="15">
        <f>G5*Założenia!$B$7*Założenia!$C$12</f>
        <v>191607.78475964337</v>
      </c>
      <c r="I5" s="15">
        <f>H5*(Założenia!$B$8+Założenia!$D$12)</f>
        <v>53678.749149652162</v>
      </c>
      <c r="J5" s="15">
        <f>$F5*Założenia!$B$13</f>
        <v>1160.2073650237453</v>
      </c>
      <c r="K5" s="15">
        <f>J5*Założenia!$B$7*Założenia!$C$13</f>
        <v>231366.40009726936</v>
      </c>
      <c r="L5" s="15">
        <f>K5*(Założenia!$B$8+Założenia!$D$13)</f>
        <v>64817.089598204984</v>
      </c>
      <c r="M5" s="15">
        <f>$F5*Założenia!$B$14</f>
        <v>857.54457414798571</v>
      </c>
      <c r="N5" s="15">
        <f>M5*Założenia!$B$7*Założenia!$C$14</f>
        <v>154723.286193412</v>
      </c>
      <c r="O5" s="15">
        <f>N5*(Założenia!$B$8+Założenia!$D$14)</f>
        <v>40251.124214475873</v>
      </c>
    </row>
    <row r="6" spans="1:15">
      <c r="A6" s="27">
        <f>EDATE(Historia!$A$28,2)</f>
        <v>46357</v>
      </c>
      <c r="B6" s="11">
        <f>MONTH(A6)</f>
        <v>12</v>
      </c>
      <c r="C6" s="12">
        <v>2</v>
      </c>
      <c r="D6" s="28">
        <f>INDEX(Sezonowość!$E$5:$E$16,B6)</f>
        <v>1.021336469141481</v>
      </c>
      <c r="E6" s="29">
        <v>0.03</v>
      </c>
      <c r="F6" s="15">
        <f>Założenia!$B$5*(1+Założenia!$B$6)^C6*D6*(1+E6)</f>
        <v>1101.2370699903342</v>
      </c>
      <c r="G6" s="15">
        <f>$F6*Założenia!$B$12</f>
        <v>1101.2370699903342</v>
      </c>
      <c r="H6" s="15">
        <f>G6*Założenia!$B$7*Założenia!$C$12</f>
        <v>209149.1935947926</v>
      </c>
      <c r="I6" s="15">
        <f>H6*(Założenia!$B$8+Założenia!$D$12)</f>
        <v>58592.959111291406</v>
      </c>
      <c r="J6" s="15">
        <f>$F6*Założenia!$B$13</f>
        <v>1266.4226304888844</v>
      </c>
      <c r="K6" s="15">
        <f>J6*Założenia!$B$7*Założenia!$C$13</f>
        <v>252547.65126571208</v>
      </c>
      <c r="L6" s="15">
        <f>K6*(Założenia!$B$8+Założenia!$D$13)</f>
        <v>70750.998126884369</v>
      </c>
      <c r="M6" s="15">
        <f>$F6*Założenia!$B$14</f>
        <v>936.05150949178403</v>
      </c>
      <c r="N6" s="15">
        <f>M6*Założenia!$B$7*Założenia!$C$14</f>
        <v>168887.97382779498</v>
      </c>
      <c r="O6" s="15">
        <f>N6*(Założenia!$B$8+Założenia!$D$14)</f>
        <v>43936.055005811897</v>
      </c>
    </row>
    <row r="7" spans="1:15">
      <c r="A7" s="27">
        <f>EDATE(Historia!$A$28,3)</f>
        <v>46388</v>
      </c>
      <c r="B7" s="11">
        <f>MONTH(A7)</f>
        <v>1</v>
      </c>
      <c r="C7" s="12">
        <v>3</v>
      </c>
      <c r="D7" s="28">
        <f>INDEX(Sezonowość!$E$5:$E$16,B7)</f>
        <v>1.0862247761182904</v>
      </c>
      <c r="E7" s="29">
        <v>0</v>
      </c>
      <c r="F7" s="15">
        <f>Założenia!$B$5*(1+Założenia!$B$6)^C7*D7*(1+E7)</f>
        <v>1148.4599010536083</v>
      </c>
      <c r="G7" s="15">
        <f>$F7*Założenia!$B$12</f>
        <v>1148.4599010536083</v>
      </c>
      <c r="H7" s="15">
        <f>G7*Założenia!$B$7*Założenia!$C$12</f>
        <v>218117.85012234084</v>
      </c>
      <c r="I7" s="15">
        <f>H7*(Założenia!$B$8+Założenia!$D$12)</f>
        <v>61105.520198282538</v>
      </c>
      <c r="J7" s="15">
        <f>$F7*Założenia!$B$13</f>
        <v>1320.7288862116495</v>
      </c>
      <c r="K7" s="15">
        <f>J7*Założenia!$B$7*Założenia!$C$13</f>
        <v>263377.30402272654</v>
      </c>
      <c r="L7" s="15">
        <f>K7*(Założenia!$B$8+Założenia!$D$13)</f>
        <v>73784.915639426152</v>
      </c>
      <c r="M7" s="15">
        <f>$F7*Założenia!$B$14</f>
        <v>976.19091589556706</v>
      </c>
      <c r="N7" s="15">
        <f>M7*Założenia!$B$7*Założenia!$C$14</f>
        <v>176130.16397379019</v>
      </c>
      <c r="O7" s="15">
        <f>N7*(Założenia!$B$8+Założenia!$D$14)</f>
        <v>45820.10428063733</v>
      </c>
    </row>
    <row r="8" spans="1:15">
      <c r="A8" s="27">
        <f>EDATE(Historia!$A$28,4)</f>
        <v>46419</v>
      </c>
      <c r="B8" s="11">
        <f>MONTH(A8)</f>
        <v>2</v>
      </c>
      <c r="C8" s="12">
        <v>4</v>
      </c>
      <c r="D8" s="28">
        <f>INDEX(Sezonowość!$E$5:$E$16,B8)</f>
        <v>0.96107459594908562</v>
      </c>
      <c r="E8" s="29">
        <v>0</v>
      </c>
      <c r="F8" s="15">
        <f>Założenia!$B$5*(1+Założenia!$B$6)^C8*D8*(1+E8)</f>
        <v>1026.3006481092366</v>
      </c>
      <c r="G8" s="15">
        <f>$F8*Założenia!$B$12</f>
        <v>1026.3006481092366</v>
      </c>
      <c r="H8" s="15">
        <f>G8*Założenia!$B$7*Założenia!$C$12</f>
        <v>194917.11529447866</v>
      </c>
      <c r="I8" s="15">
        <f>H8*(Założenia!$B$8+Założenia!$D$12)</f>
        <v>54605.855132613884</v>
      </c>
      <c r="J8" s="15">
        <f>$F8*Założenia!$B$13</f>
        <v>1180.245745325622</v>
      </c>
      <c r="K8" s="15">
        <f>J8*Założenia!$B$7*Założenia!$C$13</f>
        <v>235362.41671808297</v>
      </c>
      <c r="L8" s="15">
        <f>K8*(Założenia!$B$8+Założenia!$D$13)</f>
        <v>65936.570072631264</v>
      </c>
      <c r="M8" s="15">
        <f>$F8*Założenia!$B$14</f>
        <v>872.35555089285106</v>
      </c>
      <c r="N8" s="15">
        <f>M8*Założenia!$B$7*Założenia!$C$14</f>
        <v>157395.57060029151</v>
      </c>
      <c r="O8" s="15">
        <f>N8*(Założenia!$B$8+Założenia!$D$14)</f>
        <v>40946.31660757988</v>
      </c>
    </row>
    <row r="9" spans="1:15">
      <c r="A9" s="27">
        <f>EDATE(Historia!$A$28,5)</f>
        <v>46447</v>
      </c>
      <c r="B9" s="11">
        <f>MONTH(A9)</f>
        <v>3</v>
      </c>
      <c r="C9" s="12">
        <v>5</v>
      </c>
      <c r="D9" s="28">
        <f>INDEX(Sezonowość!$E$5:$E$16,B9)</f>
        <v>0.97673163706379917</v>
      </c>
      <c r="E9" s="29">
        <v>0.03</v>
      </c>
      <c r="F9" s="15">
        <f>Założenia!$B$5*(1+Założenia!$B$6)^C9*D9*(1+E9)</f>
        <v>1085.05401674581</v>
      </c>
      <c r="G9" s="15">
        <f>$F9*Założenia!$B$12</f>
        <v>1085.05401674581</v>
      </c>
      <c r="H9" s="15">
        <f>G9*Założenia!$B$7*Założenia!$C$12</f>
        <v>206075.6750689192</v>
      </c>
      <c r="I9" s="15">
        <f>H9*(Założenia!$B$8+Założenia!$D$12)</f>
        <v>57731.915651266412</v>
      </c>
      <c r="J9" s="15">
        <f>$F9*Założenia!$B$13</f>
        <v>1247.8121192576814</v>
      </c>
      <c r="K9" s="15">
        <f>J9*Założenia!$B$7*Założenia!$C$13</f>
        <v>248836.37764571991</v>
      </c>
      <c r="L9" s="15">
        <f>K9*(Założenia!$B$8+Założenia!$D$13)</f>
        <v>69711.28814890419</v>
      </c>
      <c r="M9" s="15">
        <f>$F9*Założenia!$B$14</f>
        <v>922.29591423393845</v>
      </c>
      <c r="N9" s="15">
        <f>M9*Założenia!$B$7*Założenia!$C$14</f>
        <v>166406.10761815222</v>
      </c>
      <c r="O9" s="15">
        <f>N9*(Założenia!$B$8+Założenia!$D$14)</f>
        <v>43290.399736034575</v>
      </c>
    </row>
    <row r="10" spans="1:15">
      <c r="A10" s="27">
        <f>EDATE(Historia!$A$28,6)</f>
        <v>46478</v>
      </c>
      <c r="B10" s="11">
        <f>MONTH(A10)</f>
        <v>4</v>
      </c>
      <c r="C10" s="12">
        <v>6</v>
      </c>
      <c r="D10" s="28">
        <f>INDEX(Sezonowość!$E$5:$E$16,B10)</f>
        <v>0.91646976387140378</v>
      </c>
      <c r="E10" s="29">
        <v>0</v>
      </c>
      <c r="F10" s="15">
        <f>Założenia!$B$5*(1+Założenia!$B$6)^C10*D10*(1+E10)</f>
        <v>998.33982115630567</v>
      </c>
      <c r="G10" s="15">
        <f>$F10*Założenia!$B$12</f>
        <v>998.33982115630567</v>
      </c>
      <c r="H10" s="15">
        <f>G10*Założenia!$B$7*Założenia!$C$12</f>
        <v>189606.73792995681</v>
      </c>
      <c r="I10" s="15">
        <f>H10*(Założenia!$B$8+Założenia!$D$12)</f>
        <v>53118.157673986425</v>
      </c>
      <c r="J10" s="15">
        <f>$F10*Założenia!$B$13</f>
        <v>1148.0907943297514</v>
      </c>
      <c r="K10" s="15">
        <f>J10*Założenia!$B$7*Założenia!$C$13</f>
        <v>228950.13605042282</v>
      </c>
      <c r="L10" s="15">
        <f>K10*(Założenia!$B$8+Założenia!$D$13)</f>
        <v>64140.175391338598</v>
      </c>
      <c r="M10" s="15">
        <f>$F10*Założenia!$B$14</f>
        <v>848.58884798285976</v>
      </c>
      <c r="N10" s="15">
        <f>M10*Założenia!$B$7*Założenia!$C$14</f>
        <v>153107.4408784401</v>
      </c>
      <c r="O10" s="15">
        <f>N10*(Założenia!$B$8+Założenia!$D$14)</f>
        <v>39830.763504175229</v>
      </c>
    </row>
    <row r="11" spans="1:15">
      <c r="A11" s="27">
        <f>EDATE(Historia!$A$28,7)</f>
        <v>46508</v>
      </c>
      <c r="B11" s="11">
        <f>MONTH(A11)</f>
        <v>5</v>
      </c>
      <c r="C11" s="12">
        <v>7</v>
      </c>
      <c r="D11" s="28">
        <f>INDEX(Sezonowość!$E$5:$E$16,B11)</f>
        <v>0.9383247236582497</v>
      </c>
      <c r="E11" s="29">
        <v>0.03</v>
      </c>
      <c r="F11" s="15">
        <f>Założenia!$B$5*(1+Założenia!$B$6)^C11*D11*(1+E11)</f>
        <v>1063.3396569899714</v>
      </c>
      <c r="G11" s="15">
        <f>$F11*Założenia!$B$12</f>
        <v>1063.3396569899714</v>
      </c>
      <c r="H11" s="15">
        <f>G11*Założenia!$B$7*Założenia!$C$12</f>
        <v>201951.63951279619</v>
      </c>
      <c r="I11" s="15">
        <f>H11*(Założenia!$B$8+Założenia!$D$12)</f>
        <v>56576.570786865064</v>
      </c>
      <c r="J11" s="15">
        <f>$F11*Założenia!$B$13</f>
        <v>1222.8406055384671</v>
      </c>
      <c r="K11" s="15">
        <f>J11*Założenia!$B$7*Założenia!$C$13</f>
        <v>243856.60471170139</v>
      </c>
      <c r="L11" s="15">
        <f>K11*(Założenia!$B$8+Założenia!$D$13)</f>
        <v>68316.209225139566</v>
      </c>
      <c r="M11" s="15">
        <f>$F11*Założenia!$B$14</f>
        <v>903.83870844147566</v>
      </c>
      <c r="N11" s="15">
        <f>M11*Założenia!$B$7*Założenia!$C$14</f>
        <v>163075.94890658293</v>
      </c>
      <c r="O11" s="15">
        <f>N11*(Założenia!$B$8+Założenia!$D$14)</f>
        <v>42424.06193226188</v>
      </c>
    </row>
    <row r="12" spans="1:15">
      <c r="A12" s="27">
        <f>EDATE(Historia!$A$28,8)</f>
        <v>46539</v>
      </c>
      <c r="B12" s="11">
        <f>MONTH(A12)</f>
        <v>6</v>
      </c>
      <c r="C12" s="12">
        <v>8</v>
      </c>
      <c r="D12" s="28">
        <f>INDEX(Sezonowość!$E$5:$E$16,B12)</f>
        <v>0.89884101478874956</v>
      </c>
      <c r="E12" s="29">
        <v>0</v>
      </c>
      <c r="F12" s="15">
        <f>Założenia!$B$5*(1+Założenia!$B$6)^C12*D12*(1+E12)</f>
        <v>998.81689988567359</v>
      </c>
      <c r="G12" s="15">
        <f>$F12*Założenia!$B$12</f>
        <v>998.81689988567359</v>
      </c>
      <c r="H12" s="15">
        <f>G12*Założenia!$B$7*Założenia!$C$12</f>
        <v>189697.34569666538</v>
      </c>
      <c r="I12" s="15">
        <f>H12*(Założenia!$B$8+Założenia!$D$12)</f>
        <v>53143.541358612078</v>
      </c>
      <c r="J12" s="15">
        <f>$F12*Założenia!$B$13</f>
        <v>1148.6394348685246</v>
      </c>
      <c r="K12" s="15">
        <f>J12*Założenia!$B$7*Założenia!$C$13</f>
        <v>229059.54492872345</v>
      </c>
      <c r="L12" s="15">
        <f>K12*(Założenia!$B$8+Założenia!$D$13)</f>
        <v>64170.826190524087</v>
      </c>
      <c r="M12" s="15">
        <f>$F12*Założenia!$B$14</f>
        <v>848.99436490282255</v>
      </c>
      <c r="N12" s="15">
        <f>M12*Założenia!$B$7*Założenia!$C$14</f>
        <v>153180.60665005728</v>
      </c>
      <c r="O12" s="15">
        <f>N12*(Założenia!$B$8+Założenia!$D$14)</f>
        <v>39849.797514078105</v>
      </c>
    </row>
    <row r="13" spans="1:15">
      <c r="A13" s="27">
        <f>EDATE(Historia!$A$28,9)</f>
        <v>46569</v>
      </c>
      <c r="B13" s="11">
        <f>MONTH(A13)</f>
        <v>7</v>
      </c>
      <c r="C13" s="12">
        <v>9</v>
      </c>
      <c r="D13" s="28">
        <f>INDEX(Sezonowość!$E$5:$E$16,B13)</f>
        <v>0.86458820344988796</v>
      </c>
      <c r="E13" s="29">
        <v>0</v>
      </c>
      <c r="F13" s="15">
        <f>Założenia!$B$5*(1+Założenia!$B$6)^C13*D13*(1+E13)</f>
        <v>970.3617745380767</v>
      </c>
      <c r="G13" s="15">
        <f>$F13*Założenia!$B$12</f>
        <v>970.3617745380767</v>
      </c>
      <c r="H13" s="15">
        <f>G13*Założenia!$B$7*Założenia!$C$12</f>
        <v>184293.09017143061</v>
      </c>
      <c r="I13" s="15">
        <f>H13*(Założenia!$B$8+Założenia!$D$12)</f>
        <v>51629.54401741011</v>
      </c>
      <c r="J13" s="15">
        <f>$F13*Założenia!$B$13</f>
        <v>1115.9160407187881</v>
      </c>
      <c r="K13" s="15">
        <f>J13*Założenia!$B$7*Założenia!$C$13</f>
        <v>222533.90638200243</v>
      </c>
      <c r="L13" s="15">
        <f>K13*(Założenia!$B$8+Założenia!$D$13)</f>
        <v>62342.674401022705</v>
      </c>
      <c r="M13" s="15">
        <f>$F13*Założenia!$B$14</f>
        <v>824.80750835736512</v>
      </c>
      <c r="N13" s="15">
        <f>M13*Założenia!$B$7*Założenia!$C$14</f>
        <v>148816.67031343019</v>
      </c>
      <c r="O13" s="15">
        <f>N13*(Założenia!$B$8+Założenia!$D$14)</f>
        <v>38714.523387790054</v>
      </c>
    </row>
    <row r="14" spans="1:15">
      <c r="A14" s="27">
        <f>EDATE(Historia!$A$28,10)</f>
        <v>46600</v>
      </c>
      <c r="B14" s="11">
        <f>MONTH(A14)</f>
        <v>8</v>
      </c>
      <c r="C14" s="12">
        <v>10</v>
      </c>
      <c r="D14" s="28">
        <f>INDEX(Sezonowość!$E$5:$E$16,B14)</f>
        <v>1.0971431920768318</v>
      </c>
      <c r="E14" s="29">
        <v>0</v>
      </c>
      <c r="F14" s="15">
        <f>Założenia!$B$5*(1+Założenia!$B$6)^C14*D14*(1+E14)</f>
        <v>1243.681175203807</v>
      </c>
      <c r="G14" s="15">
        <f>$F14*Założenia!$B$12</f>
        <v>1243.681175203807</v>
      </c>
      <c r="H14" s="15">
        <f>G14*Założenia!$B$7*Założenia!$C$12</f>
        <v>236202.46899714635</v>
      </c>
      <c r="I14" s="15">
        <f>H14*(Założenia!$B$8+Założenia!$D$12)</f>
        <v>66171.909965616316</v>
      </c>
      <c r="J14" s="15">
        <f>$F14*Założenia!$B$13</f>
        <v>1430.2333514843779</v>
      </c>
      <c r="K14" s="15">
        <f>J14*Założenia!$B$7*Założenia!$C$13</f>
        <v>285214.48131405422</v>
      </c>
      <c r="L14" s="15">
        <f>K14*(Założenia!$B$8+Założenia!$D$13)</f>
        <v>79902.581283481704</v>
      </c>
      <c r="M14" s="15">
        <f>$F14*Założenia!$B$14</f>
        <v>1057.1289989232359</v>
      </c>
      <c r="N14" s="15">
        <f>M14*Założenia!$B$7*Założenia!$C$14</f>
        <v>190733.49371519568</v>
      </c>
      <c r="O14" s="15">
        <f>N14*(Założenia!$B$8+Założenia!$D$14)</f>
        <v>49619.147422931259</v>
      </c>
    </row>
    <row r="15" spans="1:15">
      <c r="A15" s="27">
        <f>EDATE(Historia!$A$28,11)</f>
        <v>46631</v>
      </c>
      <c r="B15" s="11">
        <f>MONTH(A15)</f>
        <v>9</v>
      </c>
      <c r="C15" s="12">
        <v>11</v>
      </c>
      <c r="D15" s="28">
        <f>INDEX(Sezonowość!$E$5:$E$16,B15)</f>
        <v>1.1652826317853326</v>
      </c>
      <c r="E15" s="29">
        <v>0</v>
      </c>
      <c r="F15" s="15">
        <f>Założenia!$B$5*(1+Założenia!$B$6)^C15*D15*(1+E15)</f>
        <v>1334.1307536184368</v>
      </c>
      <c r="G15" s="15">
        <f>$F15*Założenia!$B$12</f>
        <v>1334.1307536184368</v>
      </c>
      <c r="H15" s="15">
        <f>G15*Założenia!$B$7*Założenia!$C$12</f>
        <v>253380.83767172685</v>
      </c>
      <c r="I15" s="15">
        <f>H15*(Założenia!$B$8+Założenia!$D$12)</f>
        <v>70984.414551689202</v>
      </c>
      <c r="J15" s="15">
        <f>$F15*Założenia!$B$13</f>
        <v>1534.2503666612022</v>
      </c>
      <c r="K15" s="15">
        <f>J15*Założenia!$B$7*Założenia!$C$13</f>
        <v>305957.36148861016</v>
      </c>
      <c r="L15" s="15">
        <f>K15*(Założenia!$B$8+Założenia!$D$13)</f>
        <v>85713.680571164703</v>
      </c>
      <c r="M15" s="15">
        <f>$F15*Założenia!$B$14</f>
        <v>1134.0111405756711</v>
      </c>
      <c r="N15" s="15">
        <f>M15*Założenia!$B$7*Założenia!$C$14</f>
        <v>204605.02641991939</v>
      </c>
      <c r="O15" s="15">
        <f>N15*(Założenia!$B$8+Założenia!$D$14)</f>
        <v>53227.814222090623</v>
      </c>
    </row>
    <row r="16" spans="1:15">
      <c r="A16" s="27">
        <f>EDATE(Historia!$A$28,12)</f>
        <v>46661</v>
      </c>
      <c r="B16" s="11">
        <f>MONTH(A16)</f>
        <v>10</v>
      </c>
      <c r="C16" s="12">
        <v>12</v>
      </c>
      <c r="D16" s="28">
        <f>INDEX(Sezonowość!$E$5:$E$16,B16)</f>
        <v>1.1005985654745252</v>
      </c>
      <c r="E16" s="29">
        <v>0</v>
      </c>
      <c r="F16" s="15">
        <f>Założenia!$B$5*(1+Założenia!$B$6)^C16*D16*(1+E16)</f>
        <v>1272.6747804106803</v>
      </c>
      <c r="G16" s="15">
        <f>$F16*Założenia!$B$12</f>
        <v>1272.6747804106803</v>
      </c>
      <c r="H16" s="15">
        <f>G16*Założenia!$B$7*Założenia!$C$12</f>
        <v>241708.99371709293</v>
      </c>
      <c r="I16" s="15">
        <f>H16*(Założenia!$B$8+Założenia!$D$12)</f>
        <v>67714.55793004614</v>
      </c>
      <c r="J16" s="15">
        <f>$F16*Założenia!$B$13</f>
        <v>1463.5759974722823</v>
      </c>
      <c r="K16" s="15">
        <f>J16*Założenia!$B$7*Założenia!$C$13</f>
        <v>291863.60991338972</v>
      </c>
      <c r="L16" s="15">
        <f>K16*(Założenia!$B$8+Założenia!$D$13)</f>
        <v>81765.328700530707</v>
      </c>
      <c r="M16" s="15">
        <f>$F16*Założenia!$B$14</f>
        <v>1081.7735633490784</v>
      </c>
      <c r="N16" s="15">
        <f>M16*Założenia!$B$7*Założenia!$C$14</f>
        <v>195180.01242655257</v>
      </c>
      <c r="O16" s="15">
        <f>N16*(Założenia!$B$8+Założenia!$D$14)</f>
        <v>50775.905279981205</v>
      </c>
    </row>
    <row r="17" spans="1:15">
      <c r="A17" s="30" t="s">
        <v>79</v>
      </c>
      <c r="F17" s="31">
        <f>SUM(F5:F16)</f>
        <v>13251.272467287805</v>
      </c>
      <c r="G17" s="31">
        <f>SUM(G5:G16)</f>
        <v>13251.272467287805</v>
      </c>
      <c r="H17" s="31">
        <f>SUM(H5:H16)</f>
        <v>2516708.7325369902</v>
      </c>
      <c r="I17" s="31">
        <f>SUM(I5:I16)</f>
        <v>705053.69552733167</v>
      </c>
      <c r="J17" s="31">
        <f>SUM(J5:J16)</f>
        <v>15238.963337380977</v>
      </c>
      <c r="K17" s="31">
        <f>SUM(K5:K16)</f>
        <v>3038925.794538415</v>
      </c>
      <c r="L17" s="31">
        <f>SUM(L5:L16)</f>
        <v>851352.33734925301</v>
      </c>
      <c r="M17" s="31">
        <f>SUM(M5:M16)</f>
        <v>11263.581597194636</v>
      </c>
      <c r="N17" s="31">
        <f>SUM(N5:N16)</f>
        <v>2032242.3015236193</v>
      </c>
      <c r="O17" s="31">
        <f>SUM(O5:O16)</f>
        <v>528686.01310784789</v>
      </c>
    </row>
    <row r="19" spans="1:15">
      <c r="A19" s="8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showGridLines="0" zoomScaleNormal="100" workbookViewId="0"/>
  </sheetViews>
  <sheetFormatPr defaultColWidth="8.7109375" defaultRowHeight="15"/>
  <cols>
    <col min="1" max="1" width="44" customWidth="1"/>
    <col min="2" max="2" width="24" customWidth="1"/>
    <col min="3" max="4" width="18" customWidth="1"/>
  </cols>
  <sheetData>
    <row r="1" spans="1:4" ht="17.45">
      <c r="A1" s="1" t="s">
        <v>81</v>
      </c>
    </row>
    <row r="3" spans="1:4">
      <c r="A3" s="9" t="s">
        <v>82</v>
      </c>
      <c r="B3" s="9" t="s">
        <v>60</v>
      </c>
      <c r="C3" s="9" t="s">
        <v>61</v>
      </c>
      <c r="D3" s="9" t="s">
        <v>62</v>
      </c>
    </row>
    <row r="4" spans="1:4">
      <c r="A4" s="20" t="s">
        <v>83</v>
      </c>
      <c r="B4" s="21">
        <f>Forecast!G17</f>
        <v>13251.272467287805</v>
      </c>
      <c r="C4" s="21">
        <f>Forecast!J17</f>
        <v>15238.963337380977</v>
      </c>
      <c r="D4" s="21">
        <f>Forecast!M17</f>
        <v>11263.581597194636</v>
      </c>
    </row>
    <row r="5" spans="1:4">
      <c r="A5" s="20" t="s">
        <v>84</v>
      </c>
      <c r="B5" s="21">
        <f>Forecast!H17</f>
        <v>2516708.7325369902</v>
      </c>
      <c r="C5" s="21">
        <f>Forecast!K17</f>
        <v>3038925.794538415</v>
      </c>
      <c r="D5" s="21">
        <f>Forecast!N17</f>
        <v>2032242.3015236193</v>
      </c>
    </row>
    <row r="6" spans="1:4">
      <c r="A6" s="20" t="s">
        <v>85</v>
      </c>
      <c r="B6" s="32">
        <f>Forecast!I17</f>
        <v>705053.69552733167</v>
      </c>
      <c r="C6" s="32">
        <f>Forecast!L17</f>
        <v>851352.33734925301</v>
      </c>
      <c r="D6" s="32">
        <f>Forecast!O17</f>
        <v>528686.01310784789</v>
      </c>
    </row>
    <row r="7" spans="1:4">
      <c r="A7" s="20" t="s">
        <v>86</v>
      </c>
      <c r="B7" s="15">
        <f>B6-$B$6</f>
        <v>0</v>
      </c>
      <c r="C7" s="15">
        <f>C6-$B$6</f>
        <v>146298.64182192134</v>
      </c>
      <c r="D7" s="15">
        <f>D6-$B$6</f>
        <v>-176367.68241948378</v>
      </c>
    </row>
    <row r="8" spans="1:4">
      <c r="A8" s="20" t="s">
        <v>87</v>
      </c>
      <c r="B8" s="33">
        <f>B7/$B$6</f>
        <v>0</v>
      </c>
      <c r="C8" s="33">
        <f>C7/$B$6</f>
        <v>0.20750000000000002</v>
      </c>
      <c r="D8" s="33">
        <f>D7/$B$6</f>
        <v>-0.25014787318797455</v>
      </c>
    </row>
    <row r="10" spans="1:4">
      <c r="A10" s="2" t="s">
        <v>88</v>
      </c>
    </row>
    <row r="11" spans="1:4">
      <c r="A11" s="9" t="s">
        <v>89</v>
      </c>
      <c r="B11" s="9" t="s">
        <v>60</v>
      </c>
      <c r="C11" s="9" t="s">
        <v>61</v>
      </c>
      <c r="D11" s="9" t="s">
        <v>62</v>
      </c>
    </row>
    <row r="12" spans="1:4">
      <c r="A12" s="20" t="s">
        <v>90</v>
      </c>
      <c r="B12" s="15">
        <f>SUM(Forecast!I5:I7)</f>
        <v>173377.22845922608</v>
      </c>
      <c r="C12" s="15">
        <f>SUM(Forecast!L5:L7)</f>
        <v>209353.00336451549</v>
      </c>
      <c r="D12" s="15">
        <f>SUM(Forecast!O5:O7)</f>
        <v>130007.2835009251</v>
      </c>
    </row>
    <row r="13" spans="1:4">
      <c r="A13" s="20" t="s">
        <v>91</v>
      </c>
      <c r="B13" s="15">
        <f>SUM(Forecast!I8:I10)</f>
        <v>165455.92845786671</v>
      </c>
      <c r="C13" s="15">
        <f>SUM(Forecast!L8:L10)</f>
        <v>199788.03361287405</v>
      </c>
      <c r="D13" s="15">
        <f>SUM(Forecast!O8:O10)</f>
        <v>124067.47984778968</v>
      </c>
    </row>
    <row r="14" spans="1:4">
      <c r="A14" s="20" t="s">
        <v>92</v>
      </c>
      <c r="B14" s="15">
        <f>SUM(Forecast!I11:I13)</f>
        <v>161349.65616288726</v>
      </c>
      <c r="C14" s="15">
        <f>SUM(Forecast!L11:L13)</f>
        <v>194829.70981668634</v>
      </c>
      <c r="D14" s="15">
        <f>SUM(Forecast!O11:O13)</f>
        <v>120988.38283413003</v>
      </c>
    </row>
    <row r="15" spans="1:4">
      <c r="A15" s="20" t="s">
        <v>93</v>
      </c>
      <c r="B15" s="15">
        <f>SUM(Forecast!I14:I16)</f>
        <v>204870.88244735167</v>
      </c>
      <c r="C15" s="15">
        <f>SUM(Forecast!L14:L16)</f>
        <v>247381.59055517713</v>
      </c>
      <c r="D15" s="15">
        <f>SUM(Forecast!O14:O16)</f>
        <v>153622.86692500309</v>
      </c>
    </row>
    <row r="16" spans="1:4">
      <c r="A16" s="30" t="s">
        <v>94</v>
      </c>
      <c r="B16" s="31">
        <f>SUM(B12:B15)</f>
        <v>705053.69552733179</v>
      </c>
      <c r="C16" s="31">
        <f>SUM(C12:C15)</f>
        <v>851352.33734925301</v>
      </c>
      <c r="D16" s="31">
        <f>SUM(D12:D15)</f>
        <v>528686.01310784789</v>
      </c>
    </row>
    <row r="18" spans="1:3">
      <c r="A18" s="2" t="s">
        <v>95</v>
      </c>
    </row>
    <row r="19" spans="1:3" ht="31.5" customHeight="1">
      <c r="A19" s="9" t="s">
        <v>96</v>
      </c>
      <c r="B19" s="9" t="s">
        <v>97</v>
      </c>
      <c r="C19" s="9" t="s">
        <v>98</v>
      </c>
    </row>
    <row r="20" spans="1:3">
      <c r="A20" s="20" t="s">
        <v>99</v>
      </c>
      <c r="B20" s="15">
        <f>$B$6*0.9</f>
        <v>634548.32597459853</v>
      </c>
      <c r="C20" s="15">
        <f>B20-$B$6</f>
        <v>-70505.369552733144</v>
      </c>
    </row>
    <row r="21" spans="1:3">
      <c r="A21" s="20" t="s">
        <v>100</v>
      </c>
      <c r="B21" s="15">
        <f>$B$6*0.9</f>
        <v>634548.32597459853</v>
      </c>
      <c r="C21" s="15">
        <f>B21-$B$6</f>
        <v>-70505.369552733144</v>
      </c>
    </row>
    <row r="22" spans="1:3">
      <c r="A22" s="20" t="s">
        <v>101</v>
      </c>
      <c r="B22" s="15">
        <f>$B$6*0.9</f>
        <v>634548.32597459853</v>
      </c>
      <c r="C22" s="15">
        <f>B22-$B$6</f>
        <v>-70505.369552733144</v>
      </c>
    </row>
    <row r="23" spans="1:3">
      <c r="A23" s="8" t="s">
        <v>102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Patryk Jarmużewski</cp:lastModifiedBy>
  <cp:revision>1</cp:revision>
  <dcterms:created xsi:type="dcterms:W3CDTF">2026-10-17T19:01:33Z</dcterms:created>
  <dcterms:modified xsi:type="dcterms:W3CDTF">2026-10-18T16:30:19Z</dcterms:modified>
  <cp:category/>
  <cp:contentStatus/>
</cp:coreProperties>
</file>